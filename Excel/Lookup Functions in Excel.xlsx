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6C4260-6D9A-43E4-8DC1-DCB56FF60A5F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lookup " sheetId="1" r:id="rId1"/>
    <sheet name="Vlookup" sheetId="2" r:id="rId2"/>
    <sheet name="DYNAMIC Vlookup" sheetId="3" r:id="rId3"/>
    <sheet name="HLOOKUP" sheetId="4" r:id="rId4"/>
    <sheet name="INDEX AND MATCH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I25" i="5" l="1"/>
  <c r="I26" i="5"/>
  <c r="I27" i="5"/>
  <c r="I28" i="5"/>
  <c r="I24" i="5"/>
  <c r="K40" i="5"/>
  <c r="K41" i="5"/>
  <c r="K42" i="5"/>
  <c r="K29" i="5"/>
  <c r="K30" i="5"/>
  <c r="K31" i="5"/>
  <c r="K32" i="5"/>
  <c r="K33" i="5"/>
  <c r="K34" i="5"/>
  <c r="K35" i="5"/>
  <c r="K36" i="5"/>
  <c r="K37" i="5"/>
  <c r="K38" i="5"/>
  <c r="K39" i="5"/>
  <c r="K24" i="5"/>
  <c r="K25" i="5"/>
  <c r="K26" i="5"/>
  <c r="K27" i="5"/>
  <c r="K28" i="5"/>
  <c r="K23" i="5"/>
  <c r="J24" i="5"/>
  <c r="J25" i="5"/>
  <c r="J26" i="5"/>
  <c r="J27" i="5"/>
  <c r="J28" i="5"/>
  <c r="J23" i="5"/>
  <c r="I10" i="5"/>
  <c r="I9" i="5"/>
  <c r="I8" i="5"/>
  <c r="I7" i="5"/>
  <c r="I6" i="5"/>
  <c r="J15" i="5"/>
  <c r="I15" i="5"/>
  <c r="I16" i="5"/>
  <c r="I17" i="5"/>
  <c r="I18" i="5"/>
  <c r="I19" i="5"/>
  <c r="K14" i="5"/>
  <c r="D30" i="4"/>
  <c r="E30" i="4"/>
  <c r="F30" i="4"/>
  <c r="G30" i="4"/>
  <c r="H30" i="4"/>
  <c r="I30" i="4"/>
  <c r="J30" i="4"/>
  <c r="K30" i="4"/>
  <c r="L30" i="4"/>
  <c r="D11" i="4"/>
  <c r="D12" i="4"/>
  <c r="D13" i="4"/>
  <c r="D14" i="4"/>
  <c r="D15" i="4"/>
  <c r="D16" i="4"/>
  <c r="D17" i="4"/>
  <c r="D18" i="4"/>
  <c r="D10" i="4"/>
  <c r="C11" i="4"/>
  <c r="C12" i="4"/>
  <c r="C13" i="4"/>
  <c r="C14" i="4"/>
  <c r="C15" i="4"/>
  <c r="C16" i="4"/>
  <c r="C17" i="4"/>
  <c r="C18" i="4"/>
  <c r="C10" i="4"/>
  <c r="I8" i="4"/>
  <c r="J19" i="6"/>
  <c r="J20" i="6"/>
  <c r="J21" i="6"/>
  <c r="J22" i="6"/>
  <c r="J23" i="6"/>
  <c r="K10" i="6"/>
  <c r="K11" i="6"/>
  <c r="K12" i="6"/>
  <c r="K13" i="6"/>
  <c r="K9" i="6"/>
  <c r="J13" i="6"/>
  <c r="J12" i="6"/>
  <c r="J11" i="6"/>
  <c r="J10" i="6"/>
  <c r="J9" i="6"/>
  <c r="N12" i="2"/>
  <c r="N11" i="2"/>
  <c r="N10" i="2"/>
  <c r="N9" i="2"/>
  <c r="N8" i="2"/>
  <c r="J12" i="2"/>
  <c r="J11" i="2"/>
  <c r="J10" i="2"/>
  <c r="J9" i="2"/>
  <c r="J8" i="2"/>
  <c r="J24" i="4" l="1"/>
  <c r="I24" i="4"/>
  <c r="H24" i="4"/>
  <c r="G24" i="4"/>
  <c r="F24" i="4"/>
  <c r="E24" i="4"/>
  <c r="D24" i="4"/>
  <c r="I4" i="2"/>
</calcChain>
</file>

<file path=xl/sharedStrings.xml><?xml version="1.0" encoding="utf-8"?>
<sst xmlns="http://schemas.openxmlformats.org/spreadsheetml/2006/main" count="486" uniqueCount="101">
  <si>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</si>
  <si>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</si>
  <si>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</si>
  <si>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</si>
  <si>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</si>
  <si>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</si>
  <si>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</si>
  <si>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</si>
  <si>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</si>
  <si>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</si>
  <si>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</si>
  <si>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</si>
  <si>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</si>
  <si>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</si>
  <si>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</si>
  <si>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</si>
  <si>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</si>
  <si>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</si>
  <si>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</si>
  <si>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</si>
  <si>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</si>
  <si>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</si>
  <si>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</si>
  <si>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</si>
  <si>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</si>
  <si>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</si>
  <si>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</si>
  <si>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</si>
  <si>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</si>
  <si>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</si>
  <si>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</si>
  <si>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</si>
  <si>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</si>
  <si>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</si>
  <si>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</si>
  <si>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</si>
  <si>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</si>
  <si>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</si>
  <si>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</si>
  <si>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</si>
  <si>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</si>
  <si>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</si>
  <si>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</si>
  <si>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</si>
  <si>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</si>
  <si>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</si>
  <si>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</si>
  <si>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</si>
  <si>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</si>
  <si>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</si>
  <si>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</si>
  <si>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</si>
  <si>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</si>
  <si>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</si>
  <si>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</si>
  <si>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</si>
  <si>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</si>
  <si>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</si>
  <si>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</si>
  <si>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</si>
  <si>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</si>
  <si>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</si>
  <si>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</si>
  <si>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</si>
  <si>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</si>
  <si>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</si>
  <si>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</si>
  <si>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</si>
  <si>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</si>
  <si>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</si>
  <si>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</si>
  <si>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</si>
  <si>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</si>
  <si>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</si>
  <si>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</si>
  <si>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</si>
  <si>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</si>
  <si>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</si>
  <si>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</si>
  <si>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</si>
  <si>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</si>
  <si>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</si>
  <si>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</si>
  <si>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</si>
  <si>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</si>
  <si>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</si>
  <si>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</si>
  <si>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</si>
  <si>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</si>
  <si>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</si>
  <si>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</si>
  <si>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</si>
  <si>
    <t>pratik</t>
  </si>
  <si>
    <t>pawar</t>
  </si>
  <si>
    <t>c</t>
  </si>
  <si>
    <t>match</t>
  </si>
  <si>
    <t>it returns index of provided table array</t>
  </si>
  <si>
    <t>input</t>
  </si>
  <si>
    <t>product</t>
  </si>
  <si>
    <t>column no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</si>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</sst>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5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15" fontId="1" fillId="0" borderId="13" xfId="0" applyNumberFormat="1" applyFont="1" applyBorder="1"/>
    <xf numFmtId="0" fontId="1" fillId="0" borderId="14" xfId="0" applyFont="1" applyBorder="1"/>
    <xf numFmtId="0" fontId="4" fillId="3" borderId="16" xfId="0" applyFont="1" applyFill="1" applyBorder="1"/>
    <xf numFmtId="0" fontId="1" fillId="2" borderId="16" xfId="0" applyFont="1" applyFill="1" applyBorder="1"/>
    <xf numFmtId="0" fontId="1" fillId="0" borderId="16" xfId="0" applyFont="1" applyBorder="1"/>
    <xf numFmtId="14" fontId="1" fillId="0" borderId="1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15" fontId="1" fillId="0" borderId="18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4" fillId="3" borderId="5" xfId="0" applyFont="1" applyFill="1" applyBorder="1"/>
    <xf numFmtId="0" fontId="5" fillId="0" borderId="0" xfId="0" applyFont="1"/>
    <xf numFmtId="15" fontId="1" fillId="0" borderId="16" xfId="0" applyNumberFormat="1" applyFont="1" applyBorder="1"/>
    <xf numFmtId="1" fontId="1" fillId="0" borderId="0" xfId="0" applyNumberFormat="1" applyFont="1"/>
    <xf numFmtId="9" fontId="5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0" fontId="2" fillId="4" borderId="21" xfId="0" applyFont="1" applyFill="1" applyBorder="1" applyAlignment="1">
      <alignment horizontal="center" wrapText="1"/>
    </xf>
    <xf numFmtId="2" fontId="1" fillId="0" borderId="22" xfId="0" applyNumberFormat="1" applyFont="1" applyBorder="1" applyAlignment="1">
      <alignment horizontal="right" wrapText="1"/>
    </xf>
    <xf numFmtId="2" fontId="1" fillId="0" borderId="22" xfId="0" applyNumberFormat="1" applyFont="1" applyBorder="1" applyAlignment="1">
      <alignment wrapText="1"/>
    </xf>
    <xf numFmtId="2" fontId="1" fillId="0" borderId="23" xfId="0" applyNumberFormat="1" applyFont="1" applyBorder="1" applyAlignment="1">
      <alignment vertical="center"/>
    </xf>
    <xf numFmtId="0" fontId="2" fillId="4" borderId="24" xfId="0" applyFont="1" applyFill="1" applyBorder="1" applyAlignment="1">
      <alignment horizontal="center" wrapText="1"/>
    </xf>
    <xf numFmtId="9" fontId="1" fillId="0" borderId="16" xfId="0" applyNumberFormat="1" applyFont="1" applyBorder="1" applyAlignment="1">
      <alignment horizontal="center" wrapText="1"/>
    </xf>
    <xf numFmtId="9" fontId="1" fillId="0" borderId="25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9" fontId="1" fillId="0" borderId="27" xfId="0" applyNumberFormat="1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44" fontId="1" fillId="2" borderId="5" xfId="0" applyNumberFormat="1" applyFont="1" applyFill="1" applyBorder="1"/>
    <xf numFmtId="0" fontId="1" fillId="0" borderId="29" xfId="0" applyFont="1" applyBorder="1"/>
    <xf numFmtId="44" fontId="1" fillId="0" borderId="4" xfId="0" applyNumberFormat="1" applyFont="1" applyBorder="1"/>
    <xf numFmtId="44" fontId="1" fillId="0" borderId="30" xfId="0" applyNumberFormat="1" applyFont="1" applyBorder="1"/>
    <xf numFmtId="0" fontId="1" fillId="0" borderId="31" xfId="0" applyFont="1" applyBorder="1"/>
    <xf numFmtId="9" fontId="1" fillId="0" borderId="32" xfId="0" applyNumberFormat="1" applyFont="1" applyBorder="1"/>
    <xf numFmtId="0" fontId="5" fillId="0" borderId="0" xfId="0" applyFont="1" applyAlignment="1">
      <alignment vertical="center"/>
    </xf>
    <xf numFmtId="0" fontId="4" fillId="3" borderId="33" xfId="0" applyFont="1" applyFill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1" fillId="0" borderId="5" xfId="0" applyFont="1" applyBorder="1"/>
    <xf numFmtId="0" fontId="6" fillId="0" borderId="6" xfId="0" applyFont="1" applyBorder="1" applyAlignment="1">
      <alignment horizontal="center" wrapText="1"/>
    </xf>
    <xf numFmtId="0" fontId="3" fillId="0" borderId="8" xfId="0" applyFont="1" applyBorder="1"/>
    <xf numFmtId="0" fontId="6" fillId="2" borderId="6" xfId="0" applyFont="1" applyFill="1" applyBorder="1" applyAlignment="1">
      <alignment horizontal="center"/>
    </xf>
    <xf numFmtId="0" fontId="3" fillId="0" borderId="7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5" xfId="0" applyFont="1" applyBorder="1"/>
    <xf numFmtId="14" fontId="7" fillId="0" borderId="15" xfId="0" applyNumberFormat="1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\-mmm\-yy"/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51BAF-6B48-42BE-810E-FE4279A52404}" name="Table2" displayName="Table2" ref="A3:F24" totalsRowShown="0" headerRowDxfId="8" dataDxfId="7" tableBorderDxfId="6">
  <autoFilter ref="A3:F24" xr:uid="{D7451BAF-6B48-42BE-810E-FE4279A52404}"/>
  <tableColumns count="6">
    <tableColumn id="1" xr3:uid="{9093ED97-D55D-4821-A544-6DDE7563E68F}" name="ID" dataDxfId="5"/>
    <tableColumn id="2" xr3:uid="{8206FF93-6DF0-4DD6-988F-C07213BB0093}" name="First" dataDxfId="4"/>
    <tableColumn id="3" xr3:uid="{9DD216D3-CE06-44B1-A703-355F16B198F4}" name="Last" dataDxfId="3"/>
    <tableColumn id="4" xr3:uid="{13D3BB62-78A5-4B49-84AB-2ACD123E1244}" name="Start" dataDxfId="2"/>
    <tableColumn id="5" xr3:uid="{70C809B8-9B13-49B1-813B-38BBEDCABC06}" name="Department" dataDxfId="1"/>
    <tableColumn id="6" xr3:uid="{8E30B9DC-B2F4-464B-843E-FC780D1691D8}" name="Grou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opLeftCell="A9" zoomScale="97" workbookViewId="0">
      <selection activeCell="A7" sqref="A7:K7"/>
    </sheetView>
  </sheetViews>
  <sheetFormatPr defaultColWidth="14.42578125" defaultRowHeight="15" customHeight="1"/>
  <cols>
    <col min="1" max="1" width="8.7109375" customWidth="1"/>
    <col min="2" max="2" width="31.42578125" customWidth="1"/>
    <col min="3" max="11" width="8.7109375" customWidth="1"/>
  </cols>
  <sheetData>
    <row r="2" spans="1:11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1">
      <c r="A5" s="62" t="s">
        <v>1</v>
      </c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11" ht="64.5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1" ht="110.25" customHeight="1">
      <c r="A7" s="60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>
      <c r="A9" s="55" t="s">
        <v>3</v>
      </c>
      <c r="B9" s="56"/>
      <c r="C9" s="56"/>
      <c r="D9" s="56"/>
      <c r="E9" s="56"/>
      <c r="F9" s="56"/>
      <c r="G9" s="56"/>
      <c r="H9" s="56"/>
      <c r="I9" s="56"/>
      <c r="J9" s="57"/>
    </row>
    <row r="10" spans="1:11" ht="32.25" customHeight="1">
      <c r="A10" s="63"/>
      <c r="B10" s="59"/>
      <c r="C10" s="59"/>
      <c r="D10" s="59"/>
      <c r="E10" s="59"/>
      <c r="F10" s="59"/>
      <c r="G10" s="59"/>
      <c r="H10" s="59"/>
      <c r="I10" s="59"/>
      <c r="J10" s="59"/>
    </row>
    <row r="12" spans="1:11">
      <c r="A12" s="2" t="s">
        <v>4</v>
      </c>
      <c r="B12" s="3"/>
      <c r="C12" s="4" t="s">
        <v>4</v>
      </c>
      <c r="D12" s="4" t="s">
        <v>5</v>
      </c>
    </row>
    <row r="13" spans="1:11">
      <c r="A13" s="2" t="s">
        <v>6</v>
      </c>
      <c r="B13" s="3"/>
      <c r="C13" s="4" t="s">
        <v>7</v>
      </c>
      <c r="D13" s="4" t="s">
        <v>8</v>
      </c>
    </row>
    <row r="14" spans="1:11">
      <c r="C14" s="4" t="s">
        <v>9</v>
      </c>
      <c r="D14" s="4" t="s">
        <v>10</v>
      </c>
    </row>
    <row r="15" spans="1:11">
      <c r="C15" s="4" t="s">
        <v>11</v>
      </c>
      <c r="D15" s="4" t="s">
        <v>12</v>
      </c>
    </row>
    <row r="16" spans="1:11">
      <c r="C16" s="4" t="s">
        <v>13</v>
      </c>
      <c r="D16" s="4" t="s">
        <v>14</v>
      </c>
    </row>
    <row r="19" spans="1:10" ht="30.75" customHeight="1">
      <c r="A19" s="55" t="s">
        <v>15</v>
      </c>
      <c r="B19" s="56"/>
      <c r="C19" s="56"/>
      <c r="D19" s="56"/>
      <c r="E19" s="56"/>
      <c r="F19" s="56"/>
      <c r="G19" s="56"/>
      <c r="H19" s="56"/>
      <c r="I19" s="56"/>
      <c r="J19" s="57"/>
    </row>
    <row r="20" spans="1:10" ht="54" customHeight="1">
      <c r="A20" s="58" t="s">
        <v>16</v>
      </c>
      <c r="B20" s="59"/>
      <c r="C20" s="59"/>
      <c r="D20" s="59"/>
      <c r="E20" s="59"/>
      <c r="F20" s="59"/>
      <c r="G20" s="59"/>
      <c r="H20" s="59"/>
      <c r="I20" s="59"/>
      <c r="J20" s="59"/>
    </row>
    <row r="21" spans="1:10" ht="54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J3" workbookViewId="0">
      <selection activeCell="I6" sqref="I6:J12"/>
    </sheetView>
  </sheetViews>
  <sheetFormatPr defaultColWidth="14.42578125" defaultRowHeight="15" customHeight="1"/>
  <cols>
    <col min="1" max="1" width="10.7109375" customWidth="1"/>
    <col min="2" max="2" width="10.85546875" customWidth="1"/>
    <col min="3" max="3" width="10.28515625" customWidth="1"/>
    <col min="4" max="4" width="10.140625" customWidth="1"/>
    <col min="5" max="5" width="13.28515625" customWidth="1"/>
    <col min="6" max="7" width="8.7109375" customWidth="1"/>
    <col min="8" max="8" width="12.7109375" customWidth="1"/>
    <col min="9" max="9" width="11.7109375" customWidth="1"/>
    <col min="10" max="10" width="11.28515625" customWidth="1"/>
    <col min="11" max="12" width="8.7109375" customWidth="1"/>
  </cols>
  <sheetData>
    <row r="1" spans="1:15">
      <c r="A1" s="64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5" ht="15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5" ht="79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5" ht="15" customHeight="1">
      <c r="H4" s="2" t="s">
        <v>18</v>
      </c>
      <c r="I4" s="65" t="str">
        <f>VLOOKUP(610,A5:F24,6,FALSE)</f>
        <v>B</v>
      </c>
      <c r="J4" s="54"/>
      <c r="K4" s="54"/>
      <c r="L4" s="52"/>
    </row>
    <row r="5" spans="1:15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24</v>
      </c>
    </row>
    <row r="6" spans="1:15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66" t="s">
        <v>29</v>
      </c>
      <c r="J6" s="67"/>
    </row>
    <row r="7" spans="1:15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13" t="s">
        <v>19</v>
      </c>
      <c r="J7" s="14">
        <v>610</v>
      </c>
      <c r="K7" s="4" t="s">
        <v>34</v>
      </c>
      <c r="M7" s="13" t="s">
        <v>19</v>
      </c>
      <c r="N7" s="14">
        <v>610</v>
      </c>
      <c r="O7" s="4" t="s">
        <v>34</v>
      </c>
    </row>
    <row r="8" spans="1:15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13" t="s">
        <v>20</v>
      </c>
      <c r="J8" s="15" t="str">
        <f>VLOOKUP(J7,A5:F25,2,FALSE)</f>
        <v>Janet</v>
      </c>
      <c r="M8" s="13" t="s">
        <v>20</v>
      </c>
      <c r="N8" s="15" t="str">
        <f>VLOOKUP($N$7,$A$5:$F$25,2,FALSE)</f>
        <v>Janet</v>
      </c>
    </row>
    <row r="9" spans="1:15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I9" s="13" t="s">
        <v>21</v>
      </c>
      <c r="J9" s="15" t="str">
        <f>VLOOKUP(J7,A5:F25,3,FALSE)</f>
        <v>McFadden</v>
      </c>
      <c r="M9" s="13" t="s">
        <v>21</v>
      </c>
      <c r="N9" s="15" t="str">
        <f>VLOOKUP($N$7,$A$5:$F$25,3,FALSE)</f>
        <v>McFadden</v>
      </c>
    </row>
    <row r="10" spans="1:15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13" t="s">
        <v>22</v>
      </c>
      <c r="J10" s="16">
        <f>VLOOKUP(J7,A5:F25,4,FALSE)</f>
        <v>39367</v>
      </c>
      <c r="M10" s="13" t="s">
        <v>22</v>
      </c>
      <c r="N10" s="15">
        <f>VLOOKUP($N$7,$A$5:$F$25,4,FALSE)</f>
        <v>39367</v>
      </c>
    </row>
    <row r="11" spans="1:15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13" t="s">
        <v>23</v>
      </c>
      <c r="J11" s="15" t="str">
        <f>VLOOKUP(J7,A5:F25,5,FALSE)</f>
        <v>Fulfilment</v>
      </c>
      <c r="M11" s="13" t="s">
        <v>23</v>
      </c>
      <c r="N11" s="15" t="str">
        <f>VLOOKUP($N$7,$A$5:$F$25,5,FALSE)</f>
        <v>Fulfilment</v>
      </c>
    </row>
    <row r="12" spans="1:15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13" t="s">
        <v>24</v>
      </c>
      <c r="J12" s="15" t="str">
        <f>VLOOKUP(J7,Vlookup!A5:F25,6,FALSE)</f>
        <v>B</v>
      </c>
      <c r="M12" s="13" t="s">
        <v>24</v>
      </c>
      <c r="N12" s="15" t="str">
        <f>VLOOKUP($N$7,$A$5:$F$25,6,FALSE)</f>
        <v>B</v>
      </c>
    </row>
    <row r="13" spans="1:15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5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5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</row>
    <row r="16" spans="1:15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</row>
    <row r="17" spans="1:6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</row>
    <row r="18" spans="1:6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</row>
    <row r="19" spans="1:6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</row>
    <row r="20" spans="1:6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</row>
    <row r="21" spans="1:6" ht="15.75" customHeight="1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</row>
    <row r="22" spans="1:6" ht="15.75" customHeight="1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</row>
    <row r="23" spans="1:6" ht="15.75" customHeight="1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6" ht="15.75" customHeight="1">
      <c r="A24" s="17">
        <v>645</v>
      </c>
      <c r="B24" s="18" t="s">
        <v>45</v>
      </c>
      <c r="C24" s="18" t="s">
        <v>71</v>
      </c>
      <c r="D24" s="19">
        <v>39648</v>
      </c>
      <c r="E24" s="18" t="s">
        <v>27</v>
      </c>
      <c r="F24" s="20" t="s">
        <v>28</v>
      </c>
    </row>
    <row r="25" spans="1:6" ht="15.75" customHeight="1">
      <c r="A25" s="21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3"/>
    <mergeCell ref="I4:L4"/>
    <mergeCell ref="I6:J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17" sqref="I17"/>
    </sheetView>
  </sheetViews>
  <sheetFormatPr defaultColWidth="14.42578125" defaultRowHeight="15" customHeight="1"/>
  <cols>
    <col min="1" max="2" width="8.7109375" customWidth="1"/>
    <col min="3" max="3" width="10.28515625" customWidth="1"/>
    <col min="4" max="4" width="9.85546875" customWidth="1"/>
    <col min="5" max="5" width="12.7109375" customWidth="1"/>
    <col min="6" max="7" width="8.7109375" customWidth="1"/>
    <col min="8" max="8" width="11.7109375" customWidth="1"/>
    <col min="9" max="9" width="11.85546875" customWidth="1"/>
    <col min="10" max="10" width="8.7109375" customWidth="1"/>
  </cols>
  <sheetData>
    <row r="1" spans="1:10" ht="15" customHeight="1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0" ht="15" customHeight="1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3" t="s">
        <v>19</v>
      </c>
      <c r="I4" s="14">
        <v>100</v>
      </c>
      <c r="J4" s="4" t="s">
        <v>74</v>
      </c>
    </row>
    <row r="5" spans="1:10" ht="15" customHeight="1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3" t="s">
        <v>20</v>
      </c>
      <c r="I5" s="15"/>
      <c r="J5" s="23"/>
    </row>
    <row r="6" spans="1:10" ht="15" customHeight="1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3" t="s">
        <v>21</v>
      </c>
      <c r="I6" s="15"/>
      <c r="J6" s="23"/>
    </row>
    <row r="7" spans="1:10" ht="15" customHeight="1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3" t="s">
        <v>22</v>
      </c>
      <c r="I7" s="24"/>
      <c r="J7" s="23"/>
    </row>
    <row r="8" spans="1:10" ht="15" customHeight="1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3" t="s">
        <v>23</v>
      </c>
      <c r="I8" s="15"/>
      <c r="J8" s="23"/>
    </row>
    <row r="9" spans="1:10" ht="15" customHeight="1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3" t="s">
        <v>24</v>
      </c>
      <c r="I9" s="15"/>
      <c r="J9" s="23"/>
    </row>
    <row r="10" spans="1:10" ht="15" customHeight="1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51" t="s">
        <v>75</v>
      </c>
      <c r="I11" s="52"/>
    </row>
    <row r="12" spans="1:10" ht="15" customHeight="1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5" t="s">
        <v>19</v>
      </c>
      <c r="I12" s="14"/>
    </row>
    <row r="13" spans="1:10" ht="15" customHeight="1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5" t="s">
        <v>20</v>
      </c>
      <c r="I13" s="15"/>
    </row>
    <row r="14" spans="1:10" ht="15" customHeight="1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5" t="s">
        <v>21</v>
      </c>
      <c r="I14" s="15"/>
    </row>
    <row r="15" spans="1:10" ht="15" customHeight="1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5" t="s">
        <v>22</v>
      </c>
      <c r="I15" s="24"/>
    </row>
    <row r="16" spans="1:10" ht="15" customHeight="1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5" t="s">
        <v>23</v>
      </c>
      <c r="I16" s="15"/>
    </row>
    <row r="17" spans="1:9" ht="15" customHeight="1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5" t="s">
        <v>24</v>
      </c>
      <c r="I17" s="15"/>
    </row>
    <row r="18" spans="1:9" ht="15" customHeight="1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topLeftCell="A21" workbookViewId="0">
      <selection activeCell="D31" sqref="D31"/>
    </sheetView>
  </sheetViews>
  <sheetFormatPr defaultColWidth="14.42578125" defaultRowHeight="15" customHeight="1"/>
  <cols>
    <col min="1" max="1" width="8.7109375" customWidth="1"/>
    <col min="2" max="2" width="12.5703125" customWidth="1"/>
    <col min="3" max="3" width="11.5703125" customWidth="1"/>
    <col min="4" max="4" width="12.5703125" customWidth="1"/>
    <col min="5" max="5" width="11.5703125" customWidth="1"/>
    <col min="6" max="7" width="12.5703125" customWidth="1"/>
    <col min="8" max="8" width="12.140625" customWidth="1"/>
    <col min="9" max="9" width="13.28515625" customWidth="1"/>
    <col min="10" max="10" width="12.5703125" customWidth="1"/>
    <col min="11" max="11" width="11.5703125" customWidth="1"/>
    <col min="12" max="12" width="12.85546875" customWidth="1"/>
  </cols>
  <sheetData>
    <row r="3" spans="1:9" ht="15" customHeight="1">
      <c r="C3" s="2" t="s">
        <v>4</v>
      </c>
      <c r="D3" s="4" t="s">
        <v>7</v>
      </c>
      <c r="E3" s="4" t="s">
        <v>9</v>
      </c>
      <c r="F3" s="4" t="s">
        <v>11</v>
      </c>
      <c r="G3" s="4" t="s">
        <v>13</v>
      </c>
    </row>
    <row r="4" spans="1:9" ht="15" customHeight="1">
      <c r="C4" s="2" t="s">
        <v>5</v>
      </c>
      <c r="D4" s="4" t="s">
        <v>8</v>
      </c>
      <c r="E4" s="4" t="s">
        <v>10</v>
      </c>
      <c r="F4" s="4" t="s">
        <v>12</v>
      </c>
      <c r="G4" s="4" t="s">
        <v>14</v>
      </c>
    </row>
    <row r="7" spans="1:9" ht="15" customHeight="1">
      <c r="H7" s="4" t="s">
        <v>97</v>
      </c>
      <c r="I7" s="3" t="s">
        <v>72</v>
      </c>
    </row>
    <row r="8" spans="1:9" ht="15" customHeight="1">
      <c r="H8" s="4" t="s">
        <v>98</v>
      </c>
      <c r="I8" s="23" t="str">
        <f>HLOOKUP(I7,C3:G4,2,FALSE)</f>
        <v>Banana</v>
      </c>
    </row>
    <row r="9" spans="1:9" ht="15" customHeight="1">
      <c r="A9" s="23" t="s">
        <v>76</v>
      </c>
      <c r="B9" s="23" t="s">
        <v>32</v>
      </c>
      <c r="C9" s="23" t="s">
        <v>18</v>
      </c>
      <c r="D9" s="4" t="s">
        <v>77</v>
      </c>
      <c r="F9" s="23" t="s">
        <v>32</v>
      </c>
      <c r="G9" s="23" t="s">
        <v>81</v>
      </c>
    </row>
    <row r="10" spans="1:9" ht="15" customHeight="1">
      <c r="A10" s="23" t="s">
        <v>78</v>
      </c>
      <c r="B10" s="25">
        <v>171900</v>
      </c>
      <c r="C10" s="26">
        <f>VLOOKUP(B10,$F$9:$G$17,2,TRUE)</f>
        <v>7.0000000000000007E-2</v>
      </c>
      <c r="D10" s="26">
        <f>HLOOKUP(B10,$C$22:$J$23,2,TRUE)</f>
        <v>0.06</v>
      </c>
      <c r="F10" s="28">
        <v>50000</v>
      </c>
      <c r="G10" s="27">
        <v>0.03</v>
      </c>
    </row>
    <row r="11" spans="1:9" ht="15" customHeight="1">
      <c r="A11" s="23" t="s">
        <v>79</v>
      </c>
      <c r="B11" s="25">
        <v>93500</v>
      </c>
      <c r="C11" s="26">
        <f t="shared" ref="C11:C18" si="0">VLOOKUP(B11,$F$9:$G$17,2,TRUE)</f>
        <v>0.04</v>
      </c>
      <c r="D11" s="26">
        <f t="shared" ref="D11:D18" si="1">HLOOKUP(B11,$C$22:$J$23,2,TRUE)</f>
        <v>0.04</v>
      </c>
      <c r="F11" s="28">
        <v>75000</v>
      </c>
      <c r="G11" s="27">
        <v>0.04</v>
      </c>
    </row>
    <row r="12" spans="1:9" ht="15" customHeight="1">
      <c r="A12" s="23" t="s">
        <v>80</v>
      </c>
      <c r="B12" s="25">
        <v>151200</v>
      </c>
      <c r="C12" s="26">
        <f t="shared" si="0"/>
        <v>7.0000000000000007E-2</v>
      </c>
      <c r="D12" s="26">
        <f t="shared" si="1"/>
        <v>0.06</v>
      </c>
      <c r="F12" s="28">
        <v>100000</v>
      </c>
      <c r="G12" s="27">
        <v>0.05</v>
      </c>
    </row>
    <row r="13" spans="1:9" ht="15" customHeight="1">
      <c r="A13" s="23" t="s">
        <v>82</v>
      </c>
      <c r="B13" s="25">
        <v>119850</v>
      </c>
      <c r="C13" s="26">
        <f t="shared" si="0"/>
        <v>0.05</v>
      </c>
      <c r="D13" s="26">
        <f t="shared" si="1"/>
        <v>0.05</v>
      </c>
      <c r="F13" s="28">
        <v>125000</v>
      </c>
      <c r="G13" s="27">
        <v>0.06</v>
      </c>
    </row>
    <row r="14" spans="1:9" ht="15" customHeight="1">
      <c r="A14" s="23" t="s">
        <v>83</v>
      </c>
      <c r="B14" s="25">
        <v>89450</v>
      </c>
      <c r="C14" s="26">
        <f t="shared" si="0"/>
        <v>0.04</v>
      </c>
      <c r="D14" s="26">
        <f t="shared" si="1"/>
        <v>0.04</v>
      </c>
      <c r="F14" s="28">
        <v>150000</v>
      </c>
      <c r="G14" s="27">
        <v>7.0000000000000007E-2</v>
      </c>
    </row>
    <row r="15" spans="1:9" ht="15" customHeight="1">
      <c r="A15" s="23" t="s">
        <v>84</v>
      </c>
      <c r="B15" s="25">
        <v>124500</v>
      </c>
      <c r="C15" s="26">
        <f t="shared" si="0"/>
        <v>0.05</v>
      </c>
      <c r="D15" s="26">
        <f t="shared" si="1"/>
        <v>0.05</v>
      </c>
      <c r="F15" s="28">
        <v>175000</v>
      </c>
      <c r="G15" s="27">
        <v>0.08</v>
      </c>
    </row>
    <row r="16" spans="1:9" ht="15" customHeight="1">
      <c r="A16" s="23" t="s">
        <v>85</v>
      </c>
      <c r="B16" s="25">
        <v>131100</v>
      </c>
      <c r="C16" s="26">
        <f t="shared" si="0"/>
        <v>0.06</v>
      </c>
      <c r="D16" s="26">
        <f t="shared" si="1"/>
        <v>0.06</v>
      </c>
      <c r="F16" s="28">
        <v>200000</v>
      </c>
      <c r="G16" s="27">
        <v>0.09</v>
      </c>
    </row>
    <row r="17" spans="1:26" ht="15" customHeight="1">
      <c r="A17" s="23" t="s">
        <v>86</v>
      </c>
      <c r="B17" s="25">
        <v>55300</v>
      </c>
      <c r="C17" s="26">
        <f t="shared" si="0"/>
        <v>0.03</v>
      </c>
      <c r="D17" s="26">
        <f t="shared" si="1"/>
        <v>0.03</v>
      </c>
      <c r="F17" s="28">
        <v>220000</v>
      </c>
      <c r="G17" s="27">
        <v>0.1</v>
      </c>
    </row>
    <row r="18" spans="1:26" ht="15" customHeight="1">
      <c r="A18" s="23" t="s">
        <v>87</v>
      </c>
      <c r="B18" s="25">
        <v>220000</v>
      </c>
      <c r="C18" s="26">
        <f t="shared" si="0"/>
        <v>0.1</v>
      </c>
      <c r="D18" s="26">
        <f t="shared" si="1"/>
        <v>0.09</v>
      </c>
    </row>
    <row r="21" spans="1:26" ht="15.75" customHeight="1"/>
    <row r="22" spans="1:26" ht="15.75" customHeight="1">
      <c r="C22" s="29" t="s">
        <v>32</v>
      </c>
      <c r="D22" s="30">
        <v>50000</v>
      </c>
      <c r="E22" s="30">
        <v>75000</v>
      </c>
      <c r="F22" s="31">
        <v>100000</v>
      </c>
      <c r="G22" s="31">
        <v>125000</v>
      </c>
      <c r="H22" s="31" t="s">
        <v>88</v>
      </c>
      <c r="I22" s="31">
        <v>175000</v>
      </c>
      <c r="J22" s="32">
        <v>200000</v>
      </c>
    </row>
    <row r="23" spans="1:26" ht="15.75" customHeight="1">
      <c r="C23" s="33" t="s">
        <v>81</v>
      </c>
      <c r="D23" s="34">
        <v>0.03</v>
      </c>
      <c r="E23" s="34">
        <v>0.04</v>
      </c>
      <c r="F23" s="34">
        <v>0.05</v>
      </c>
      <c r="G23" s="34">
        <v>0.06</v>
      </c>
      <c r="H23" s="34">
        <v>7.0000000000000007E-2</v>
      </c>
      <c r="I23" s="34">
        <v>0.08</v>
      </c>
      <c r="J23" s="35">
        <v>0.09</v>
      </c>
    </row>
    <row r="24" spans="1:26" ht="29.25" customHeight="1">
      <c r="C24" s="36" t="s">
        <v>89</v>
      </c>
      <c r="D24" s="37">
        <f t="shared" ref="D24:J24" si="2">HLOOKUP(D22,C22:J23,2,TRUE)</f>
        <v>0.03</v>
      </c>
      <c r="E24" s="37">
        <f t="shared" si="2"/>
        <v>0.04</v>
      </c>
      <c r="F24" s="37">
        <f t="shared" si="2"/>
        <v>0.05</v>
      </c>
      <c r="G24" s="37">
        <f t="shared" si="2"/>
        <v>0.06</v>
      </c>
      <c r="H24" s="37">
        <f t="shared" si="2"/>
        <v>7.0000000000000007E-2</v>
      </c>
      <c r="I24" s="37">
        <f t="shared" si="2"/>
        <v>0.08</v>
      </c>
      <c r="J24" s="38">
        <f t="shared" si="2"/>
        <v>0.09</v>
      </c>
    </row>
    <row r="25" spans="1:26" ht="29.25" customHeight="1">
      <c r="A25" s="4"/>
      <c r="B25" s="4"/>
      <c r="C25" s="3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C26" s="4"/>
      <c r="D26" s="40"/>
    </row>
    <row r="27" spans="1:26" ht="15.75" customHeight="1">
      <c r="C27" s="4"/>
      <c r="D27" s="27"/>
    </row>
    <row r="28" spans="1:26" ht="15.75" customHeight="1"/>
    <row r="29" spans="1:26" ht="15.75" customHeight="1">
      <c r="C29" s="41" t="s">
        <v>32</v>
      </c>
      <c r="D29" s="42">
        <v>171900</v>
      </c>
      <c r="E29" s="42">
        <v>93500</v>
      </c>
      <c r="F29" s="42">
        <v>151200</v>
      </c>
      <c r="G29" s="42">
        <v>119850</v>
      </c>
      <c r="H29" s="42">
        <v>89450</v>
      </c>
      <c r="I29" s="42">
        <v>124500</v>
      </c>
      <c r="J29" s="42">
        <v>131100</v>
      </c>
      <c r="K29" s="42">
        <v>55300</v>
      </c>
      <c r="L29" s="43">
        <v>220000</v>
      </c>
    </row>
    <row r="30" spans="1:26" ht="15.75" customHeight="1">
      <c r="C30" s="44" t="s">
        <v>90</v>
      </c>
      <c r="D30" s="45">
        <f>HLOOKUP(D29,$C$22:$J$23,2,TRUE)</f>
        <v>0.06</v>
      </c>
      <c r="E30" s="45">
        <f t="shared" ref="E30:L30" si="3">HLOOKUP(E29,$C$22:$J$23,2,TRUE)</f>
        <v>0.04</v>
      </c>
      <c r="F30" s="45">
        <f t="shared" si="3"/>
        <v>0.06</v>
      </c>
      <c r="G30" s="45">
        <f t="shared" si="3"/>
        <v>0.05</v>
      </c>
      <c r="H30" s="45">
        <f t="shared" si="3"/>
        <v>0.04</v>
      </c>
      <c r="I30" s="45">
        <f t="shared" si="3"/>
        <v>0.05</v>
      </c>
      <c r="J30" s="45">
        <f t="shared" si="3"/>
        <v>0.06</v>
      </c>
      <c r="K30" s="45">
        <f t="shared" si="3"/>
        <v>0.03</v>
      </c>
      <c r="L30" s="45">
        <f t="shared" si="3"/>
        <v>0.09</v>
      </c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L42"/>
  <sheetViews>
    <sheetView tabSelected="1" topLeftCell="A12" workbookViewId="0">
      <selection activeCell="I26" sqref="I26"/>
    </sheetView>
  </sheetViews>
  <sheetFormatPr defaultColWidth="14.42578125" defaultRowHeight="15" customHeight="1"/>
  <cols>
    <col min="10" max="10" width="16.7109375" customWidth="1"/>
  </cols>
  <sheetData>
    <row r="3" spans="1:12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2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51" t="s">
        <v>75</v>
      </c>
      <c r="I4" s="52"/>
      <c r="J4" s="46"/>
      <c r="K4" s="51" t="s">
        <v>75</v>
      </c>
      <c r="L4" s="52"/>
    </row>
    <row r="5" spans="1:12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5" t="s">
        <v>19</v>
      </c>
      <c r="I5" s="14">
        <v>610</v>
      </c>
      <c r="K5" s="15" t="s">
        <v>19</v>
      </c>
      <c r="L5" s="14"/>
    </row>
    <row r="6" spans="1:12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5" t="s">
        <v>20</v>
      </c>
      <c r="I6" s="15" t="str">
        <f>VLOOKUP($I$5,$A$3:$F$23,2,FALSE)</f>
        <v>Janet</v>
      </c>
      <c r="K6" s="15" t="s">
        <v>20</v>
      </c>
      <c r="L6" s="15"/>
    </row>
    <row r="7" spans="1:12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5" t="s">
        <v>21</v>
      </c>
      <c r="I7" s="15" t="str">
        <f>VLOOKUP($I$5,$A$3:$F$23,3,FALSE)</f>
        <v>McFadden</v>
      </c>
      <c r="K7" s="15" t="s">
        <v>21</v>
      </c>
      <c r="L7" s="15"/>
    </row>
    <row r="8" spans="1:12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5" t="s">
        <v>22</v>
      </c>
      <c r="I8" s="16">
        <f>VLOOKUP($I$5,$A$3:$F$23,4,FALSE)</f>
        <v>39367</v>
      </c>
      <c r="K8" s="15" t="s">
        <v>22</v>
      </c>
      <c r="L8" s="15"/>
    </row>
    <row r="9" spans="1:12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5" t="s">
        <v>23</v>
      </c>
      <c r="I9" s="15" t="str">
        <f>VLOOKUP($I$5,$A$3:$F$23,5,FALSE)</f>
        <v>Fulfilment</v>
      </c>
      <c r="K9" s="15" t="s">
        <v>23</v>
      </c>
      <c r="L9" s="15"/>
    </row>
    <row r="10" spans="1:12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5" t="s">
        <v>24</v>
      </c>
      <c r="I10" s="15" t="str">
        <f>VLOOKUP($I$5,$A$3:$F$23,6,FALSE)</f>
        <v>B</v>
      </c>
      <c r="K10" s="15" t="s">
        <v>24</v>
      </c>
      <c r="L10" s="15"/>
    </row>
    <row r="11" spans="1:12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2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2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53" t="s">
        <v>91</v>
      </c>
      <c r="I13" s="54"/>
      <c r="J13" t="s">
        <v>100</v>
      </c>
      <c r="K13" t="s">
        <v>99</v>
      </c>
    </row>
    <row r="14" spans="1:12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7" t="s">
        <v>19</v>
      </c>
      <c r="I14" s="48">
        <v>841</v>
      </c>
      <c r="K14" t="e">
        <f>MATCH(H14,$A$3:$F$23,0)</f>
        <v>#N/A</v>
      </c>
    </row>
    <row r="15" spans="1:12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7" t="s">
        <v>20</v>
      </c>
      <c r="I15" s="49" t="str">
        <f>INDEX($A$4:$F$23,MATCH($I$14,$A$3:$A$23,0),MATCH(H15,$A$3:$F$3,0))</f>
        <v>Marliyn</v>
      </c>
      <c r="J15">
        <f>MATCH(H15,$A$3:$F$3,0)</f>
        <v>2</v>
      </c>
    </row>
    <row r="16" spans="1:12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7" t="s">
        <v>21</v>
      </c>
      <c r="I16" s="49" t="str">
        <f t="shared" ref="I16:I19" si="0">INDEX($A$4:$F$23,MATCH($I$14,$A$3:$A$23,0),MATCH(H16,$A$3:$F$3,0))</f>
        <v>Stephens</v>
      </c>
    </row>
    <row r="17" spans="1:11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7" t="s">
        <v>22</v>
      </c>
      <c r="I17" s="68">
        <f t="shared" si="0"/>
        <v>41447</v>
      </c>
    </row>
    <row r="18" spans="1:11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7" t="s">
        <v>23</v>
      </c>
      <c r="I18" s="49" t="str">
        <f t="shared" si="0"/>
        <v>Fulfilment</v>
      </c>
    </row>
    <row r="19" spans="1:11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7" t="s">
        <v>24</v>
      </c>
      <c r="I19" s="49" t="str">
        <f t="shared" si="0"/>
        <v>C</v>
      </c>
    </row>
    <row r="20" spans="1:11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</row>
    <row r="21" spans="1:11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</row>
    <row r="22" spans="1:11">
      <c r="A22" s="17">
        <v>645</v>
      </c>
      <c r="B22" s="18" t="s">
        <v>45</v>
      </c>
      <c r="C22" s="18" t="s">
        <v>71</v>
      </c>
      <c r="D22" s="19">
        <v>39648</v>
      </c>
      <c r="E22" s="18" t="s">
        <v>27</v>
      </c>
      <c r="F22" s="20" t="s">
        <v>28</v>
      </c>
      <c r="H22" s="53" t="s">
        <v>91</v>
      </c>
      <c r="I22" s="54"/>
      <c r="J22" t="s">
        <v>99</v>
      </c>
      <c r="K22" t="s">
        <v>100</v>
      </c>
    </row>
    <row r="23" spans="1:11">
      <c r="A23" s="21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  <c r="H23" s="15" t="s">
        <v>19</v>
      </c>
      <c r="I23" s="14">
        <v>610</v>
      </c>
      <c r="J23">
        <f>MATCH(H23,$A$3:$F$3,0)</f>
        <v>1</v>
      </c>
      <c r="K23">
        <f>MATCH(A4,$A$4:A23,)</f>
        <v>1</v>
      </c>
    </row>
    <row r="24" spans="1:11" ht="15" customHeight="1">
      <c r="H24" s="15" t="s">
        <v>20</v>
      </c>
      <c r="I24" s="15" t="str">
        <f>INDEX($A$4:$F$23,MATCH($I$23,$A$4:$A$23,0),MATCH(H24,$A$3:$F$3,0))</f>
        <v>Janet</v>
      </c>
      <c r="J24">
        <f t="shared" ref="J24:J42" si="1">MATCH(H24,$A$3:$F$3,0)</f>
        <v>2</v>
      </c>
      <c r="K24">
        <f>MATCH(A5,$A$4:A24,)</f>
        <v>2</v>
      </c>
    </row>
    <row r="25" spans="1:11" ht="15" customHeight="1">
      <c r="H25" s="15" t="s">
        <v>21</v>
      </c>
      <c r="I25" s="15" t="str">
        <f t="shared" ref="I25:I28" si="2">INDEX($A$4:$F$23,MATCH($I$23,$A$4:$A$23,0),MATCH(H25,$A$3:$F$3,0))</f>
        <v>McFadden</v>
      </c>
      <c r="J25">
        <f t="shared" si="1"/>
        <v>3</v>
      </c>
      <c r="K25">
        <f>MATCH(A6,$A$4:A25,)</f>
        <v>3</v>
      </c>
    </row>
    <row r="26" spans="1:11" ht="15" customHeight="1">
      <c r="H26" s="15" t="s">
        <v>22</v>
      </c>
      <c r="I26" s="16">
        <f t="shared" si="2"/>
        <v>39367</v>
      </c>
      <c r="J26">
        <f t="shared" si="1"/>
        <v>4</v>
      </c>
      <c r="K26">
        <f>MATCH(A7,$A$4:A26,)</f>
        <v>4</v>
      </c>
    </row>
    <row r="27" spans="1:11" ht="15" customHeight="1">
      <c r="H27" s="15" t="s">
        <v>23</v>
      </c>
      <c r="I27" s="15" t="str">
        <f t="shared" si="2"/>
        <v>Fulfilment</v>
      </c>
      <c r="J27">
        <f t="shared" si="1"/>
        <v>5</v>
      </c>
      <c r="K27">
        <f>MATCH(A8,$A$4:A27,)</f>
        <v>5</v>
      </c>
    </row>
    <row r="28" spans="1:11" ht="15" customHeight="1">
      <c r="H28" s="15" t="s">
        <v>24</v>
      </c>
      <c r="I28" s="15" t="str">
        <f t="shared" si="2"/>
        <v>B</v>
      </c>
      <c r="J28">
        <f t="shared" si="1"/>
        <v>6</v>
      </c>
      <c r="K28">
        <f>MATCH(A9,$A$4:A28,)</f>
        <v>6</v>
      </c>
    </row>
    <row r="29" spans="1:11" ht="15" customHeight="1">
      <c r="K29">
        <f>MATCH(A10,$A$4:A29,)</f>
        <v>7</v>
      </c>
    </row>
    <row r="30" spans="1:11" ht="15" customHeight="1">
      <c r="K30">
        <f>MATCH(A11,$A$4:A30,)</f>
        <v>8</v>
      </c>
    </row>
    <row r="31" spans="1:11" ht="15" customHeight="1">
      <c r="K31">
        <f>MATCH(A12,$A$4:A31,)</f>
        <v>9</v>
      </c>
    </row>
    <row r="32" spans="1:11" ht="15" customHeight="1">
      <c r="K32">
        <f>MATCH(A13,$A$4:A32,)</f>
        <v>10</v>
      </c>
    </row>
    <row r="33" spans="11:11" ht="15" customHeight="1">
      <c r="K33">
        <f>MATCH(A14,$A$4:A33,)</f>
        <v>11</v>
      </c>
    </row>
    <row r="34" spans="11:11" ht="15" customHeight="1">
      <c r="K34">
        <f>MATCH(A15,$A$4:A34,)</f>
        <v>12</v>
      </c>
    </row>
    <row r="35" spans="11:11" ht="15" customHeight="1">
      <c r="K35">
        <f>MATCH(A16,$A$4:A35,)</f>
        <v>13</v>
      </c>
    </row>
    <row r="36" spans="11:11" ht="15" customHeight="1">
      <c r="K36">
        <f>MATCH(A17,$A$4:A36,)</f>
        <v>14</v>
      </c>
    </row>
    <row r="37" spans="11:11" ht="15" customHeight="1">
      <c r="K37">
        <f>MATCH(A18,$A$4:A37,)</f>
        <v>15</v>
      </c>
    </row>
    <row r="38" spans="11:11" ht="15" customHeight="1">
      <c r="K38">
        <f>MATCH(A19,$A$4:A38,)</f>
        <v>16</v>
      </c>
    </row>
    <row r="39" spans="11:11" ht="15" customHeight="1">
      <c r="K39">
        <f>MATCH(A20,$A$4:A39,)</f>
        <v>17</v>
      </c>
    </row>
    <row r="40" spans="11:11" ht="15" customHeight="1">
      <c r="K40">
        <f>MATCH(A21,$A$4:A40,)</f>
        <v>18</v>
      </c>
    </row>
    <row r="41" spans="11:11" ht="15" customHeight="1">
      <c r="K41">
        <f>MATCH(A22,$A$4:A41,)</f>
        <v>19</v>
      </c>
    </row>
    <row r="42" spans="11:11" ht="15" customHeight="1">
      <c r="K42">
        <f>MATCH(A23,$A$4:A42,)</f>
        <v>20</v>
      </c>
    </row>
  </sheetData>
  <mergeCells count="4">
    <mergeCell ref="H4:I4"/>
    <mergeCell ref="H13:I13"/>
    <mergeCell ref="K4:L4"/>
    <mergeCell ref="H22:I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86F0-336D-48B5-9BE0-93F136AF9C36}">
  <dimension ref="A3:K24"/>
  <sheetViews>
    <sheetView topLeftCell="A5" workbookViewId="0">
      <selection activeCell="J19" sqref="J19"/>
    </sheetView>
  </sheetViews>
  <sheetFormatPr defaultRowHeight="15"/>
  <cols>
    <col min="4" max="4" width="9.85546875" bestFit="1" customWidth="1"/>
    <col min="5" max="5" width="13.85546875" customWidth="1"/>
    <col min="10" max="10" width="12.28515625" customWidth="1"/>
  </cols>
  <sheetData>
    <row r="3" spans="1:11">
      <c r="A3" s="22" t="s">
        <v>19</v>
      </c>
      <c r="B3" s="22" t="s">
        <v>20</v>
      </c>
      <c r="C3" s="22" t="s">
        <v>21</v>
      </c>
      <c r="D3" s="22" t="s">
        <v>22</v>
      </c>
      <c r="E3" s="22" t="s">
        <v>23</v>
      </c>
      <c r="F3" s="22" t="s">
        <v>24</v>
      </c>
    </row>
    <row r="4" spans="1:11">
      <c r="A4" s="10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0" t="s">
        <v>28</v>
      </c>
    </row>
    <row r="5" spans="1:11">
      <c r="A5" s="10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0" t="s">
        <v>33</v>
      </c>
    </row>
    <row r="6" spans="1:11">
      <c r="A6" s="10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0" t="s">
        <v>28</v>
      </c>
    </row>
    <row r="7" spans="1:11">
      <c r="A7" s="10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0" t="s">
        <v>39</v>
      </c>
      <c r="I7" s="66" t="s">
        <v>29</v>
      </c>
      <c r="J7" s="67"/>
    </row>
    <row r="8" spans="1:11">
      <c r="A8" s="10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0" t="s">
        <v>33</v>
      </c>
      <c r="I8" s="13" t="s">
        <v>19</v>
      </c>
      <c r="J8" s="14">
        <v>101</v>
      </c>
    </row>
    <row r="9" spans="1:11">
      <c r="A9" s="10">
        <v>601</v>
      </c>
      <c r="B9" s="10" t="s">
        <v>43</v>
      </c>
      <c r="C9" s="10" t="s">
        <v>44</v>
      </c>
      <c r="D9" s="11">
        <v>40340</v>
      </c>
      <c r="E9" s="10"/>
      <c r="F9" s="10" t="s">
        <v>39</v>
      </c>
      <c r="I9" s="13" t="s">
        <v>20</v>
      </c>
      <c r="J9" s="15" t="str">
        <f>VLOOKUP($J$8,Table2[#All],2,FALSE)</f>
        <v>pratik</v>
      </c>
      <c r="K9">
        <f>MATCH(I9,Table2[#Headers],0)</f>
        <v>2</v>
      </c>
    </row>
    <row r="10" spans="1:11">
      <c r="A10" s="10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0" t="s">
        <v>33</v>
      </c>
      <c r="I10" s="13" t="s">
        <v>21</v>
      </c>
      <c r="J10" s="15" t="str">
        <f>VLOOKUP($J$8,Table2[#All],3,FALSE)</f>
        <v>pawar</v>
      </c>
      <c r="K10">
        <f>MATCH(I10,Table2[#Headers],0)</f>
        <v>3</v>
      </c>
    </row>
    <row r="11" spans="1:11">
      <c r="A11" s="10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0" t="s">
        <v>28</v>
      </c>
      <c r="I11" s="13" t="s">
        <v>22</v>
      </c>
      <c r="J11" s="16">
        <f>VLOOKUP($J$8,Table2[#All],4,FALSE)</f>
        <v>39797</v>
      </c>
      <c r="K11">
        <f>MATCH(I11,Table2[#Headers],0)</f>
        <v>4</v>
      </c>
    </row>
    <row r="12" spans="1:11">
      <c r="A12" s="10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0" t="s">
        <v>28</v>
      </c>
      <c r="I12" s="13" t="s">
        <v>23</v>
      </c>
      <c r="J12" s="15" t="str">
        <f>VLOOKUP($J$8,Table2[#All],5,FALSE)</f>
        <v>Sales</v>
      </c>
      <c r="K12">
        <f>MATCH(I12,Table2[#Headers],0)</f>
        <v>5</v>
      </c>
    </row>
    <row r="13" spans="1:11">
      <c r="A13" s="10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0" t="s">
        <v>28</v>
      </c>
      <c r="I13" s="13" t="s">
        <v>24</v>
      </c>
      <c r="J13" s="15" t="str">
        <f>VLOOKUP($J$8,Table2[#All],6,FALSE)</f>
        <v>c</v>
      </c>
      <c r="K13">
        <f>MATCH(I13,Table2[#Headers],0)</f>
        <v>6</v>
      </c>
    </row>
    <row r="14" spans="1:11">
      <c r="A14" s="10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0" t="s">
        <v>39</v>
      </c>
    </row>
    <row r="15" spans="1:11">
      <c r="A15" s="10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0" t="s">
        <v>39</v>
      </c>
    </row>
    <row r="16" spans="1:11">
      <c r="A16" s="10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0" t="s">
        <v>33</v>
      </c>
      <c r="I16" s="22" t="s">
        <v>95</v>
      </c>
      <c r="J16" t="s">
        <v>96</v>
      </c>
    </row>
    <row r="17" spans="1:10">
      <c r="A17" s="10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0" t="s">
        <v>33</v>
      </c>
    </row>
    <row r="18" spans="1:10">
      <c r="A18" s="10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0" t="s">
        <v>33</v>
      </c>
      <c r="I18" s="13" t="s">
        <v>19</v>
      </c>
      <c r="J18" s="14">
        <v>610</v>
      </c>
    </row>
    <row r="19" spans="1:10">
      <c r="A19" s="10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0" t="s">
        <v>28</v>
      </c>
      <c r="I19" s="13" t="s">
        <v>20</v>
      </c>
      <c r="J19" s="15" t="str">
        <f>VLOOKUP($J$18,Table2[],MATCH(I19,Table2[#Headers],0),FALSE)</f>
        <v>Janet</v>
      </c>
    </row>
    <row r="20" spans="1:10">
      <c r="A20" s="10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0" t="s">
        <v>33</v>
      </c>
      <c r="I20" s="13" t="s">
        <v>21</v>
      </c>
      <c r="J20" s="15" t="str">
        <f>VLOOKUP($J$18,Table2[],MATCH(I20,Table2[#Headers],0),FALSE)</f>
        <v>McFadden</v>
      </c>
    </row>
    <row r="21" spans="1:10">
      <c r="A21" s="10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0" t="s">
        <v>33</v>
      </c>
      <c r="I21" s="13" t="s">
        <v>22</v>
      </c>
      <c r="J21" s="15">
        <f>VLOOKUP($J$18,Table2[],MATCH(I21,Table2[#Headers],0),FALSE)</f>
        <v>39367</v>
      </c>
    </row>
    <row r="22" spans="1:10">
      <c r="A22" s="18">
        <v>645</v>
      </c>
      <c r="B22" s="18" t="s">
        <v>45</v>
      </c>
      <c r="C22" s="18" t="s">
        <v>71</v>
      </c>
      <c r="D22" s="19">
        <v>39648</v>
      </c>
      <c r="E22" s="18" t="s">
        <v>27</v>
      </c>
      <c r="F22" s="18" t="s">
        <v>28</v>
      </c>
      <c r="I22" s="13" t="s">
        <v>23</v>
      </c>
      <c r="J22" s="15" t="str">
        <f>VLOOKUP($J$18,Table2[],MATCH(I22,Table2[#Headers],0),FALSE)</f>
        <v>Fulfilment</v>
      </c>
    </row>
    <row r="23" spans="1:10">
      <c r="A23" s="50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0" t="s">
        <v>33</v>
      </c>
      <c r="I23" s="13" t="s">
        <v>24</v>
      </c>
      <c r="J23" s="15" t="str">
        <f>VLOOKUP($J$18,Table2[],MATCH(I23,Table2[#Headers],0),FALSE)</f>
        <v>B</v>
      </c>
    </row>
    <row r="24" spans="1:10">
      <c r="A24" s="10">
        <v>101</v>
      </c>
      <c r="B24" s="10" t="s">
        <v>92</v>
      </c>
      <c r="C24" s="10" t="s">
        <v>93</v>
      </c>
      <c r="D24" s="11">
        <v>39797</v>
      </c>
      <c r="E24" s="10" t="s">
        <v>32</v>
      </c>
      <c r="F24" s="10" t="s">
        <v>94</v>
      </c>
    </row>
  </sheetData>
  <mergeCells count="1">
    <mergeCell ref="I7:J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 </vt:lpstr>
      <vt:lpstr>Vlookup</vt:lpstr>
      <vt:lpstr>DYNAMIC Vlookup</vt:lpstr>
      <vt:lpstr>HLOOKUP</vt:lpstr>
      <vt:lpstr>INDEX AND MATCH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Suraj Bansode</cp:lastModifiedBy>
  <dcterms:created xsi:type="dcterms:W3CDTF">2024-07-15T05:08:55Z</dcterms:created>
  <dcterms:modified xsi:type="dcterms:W3CDTF">2026-09-09T12:12:23Z</dcterms:modified>
</cp:coreProperties>
</file>
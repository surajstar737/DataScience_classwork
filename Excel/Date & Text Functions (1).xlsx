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222E04-458B-4045-A297-673C2406775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ext Functions" sheetId="1" r:id="rId1"/>
    <sheet name="Date Function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C24" i="3"/>
  <c r="C21" i="3"/>
  <c r="C23" i="3"/>
  <c r="C22" i="3"/>
  <c r="C18" i="3"/>
  <c r="C14" i="3"/>
  <c r="C12" i="3"/>
  <c r="C9" i="3"/>
  <c r="G18" i="2"/>
  <c r="G16" i="2"/>
  <c r="G13" i="2"/>
  <c r="F5" i="2"/>
  <c r="F3" i="2"/>
  <c r="F2" i="2"/>
  <c r="F6" i="2"/>
  <c r="J16" i="1"/>
  <c r="J17" i="1"/>
  <c r="J18" i="1"/>
  <c r="J19" i="1"/>
  <c r="J20" i="1"/>
  <c r="J21" i="1"/>
  <c r="J22" i="1"/>
  <c r="J23" i="1"/>
  <c r="J24" i="1"/>
  <c r="J15" i="1"/>
  <c r="I15" i="1"/>
  <c r="I16" i="1"/>
  <c r="I17" i="1"/>
  <c r="I18" i="1"/>
  <c r="I19" i="1"/>
  <c r="I20" i="1"/>
  <c r="I21" i="1"/>
  <c r="I22" i="1"/>
  <c r="I23" i="1"/>
  <c r="I24" i="1"/>
  <c r="I25" i="1"/>
  <c r="H16" i="1"/>
  <c r="H17" i="1"/>
  <c r="H18" i="1"/>
  <c r="H19" i="1"/>
  <c r="H20" i="1"/>
  <c r="H21" i="1"/>
  <c r="H22" i="1"/>
  <c r="H23" i="1"/>
  <c r="H24" i="1"/>
  <c r="H25" i="1"/>
  <c r="H15" i="1"/>
  <c r="G16" i="1"/>
  <c r="G17" i="1"/>
  <c r="G18" i="1"/>
  <c r="G19" i="1"/>
  <c r="G20" i="1"/>
  <c r="G21" i="1"/>
  <c r="G22" i="1"/>
  <c r="G23" i="1"/>
  <c r="G24" i="1"/>
  <c r="G25" i="1"/>
  <c r="G15" i="1"/>
  <c r="F16" i="1"/>
  <c r="F17" i="1"/>
  <c r="F18" i="1"/>
  <c r="F19" i="1"/>
  <c r="F20" i="1"/>
  <c r="F21" i="1"/>
  <c r="F22" i="1"/>
  <c r="F23" i="1"/>
  <c r="F24" i="1"/>
  <c r="F25" i="1"/>
  <c r="F15" i="1"/>
  <c r="E24" i="1"/>
  <c r="E25" i="1"/>
  <c r="A16" i="1"/>
  <c r="A17" i="1"/>
  <c r="A18" i="1"/>
  <c r="A19" i="1"/>
  <c r="A20" i="1"/>
  <c r="A21" i="1"/>
  <c r="A22" i="1"/>
  <c r="A23" i="1"/>
  <c r="A24" i="1"/>
  <c r="A25" i="1"/>
  <c r="C25" i="1"/>
  <c r="C16" i="1"/>
  <c r="C17" i="1"/>
  <c r="C18" i="1"/>
  <c r="C19" i="1"/>
  <c r="C20" i="1"/>
  <c r="C21" i="1"/>
  <c r="C22" i="1"/>
  <c r="C23" i="1"/>
  <c r="C24" i="1"/>
  <c r="C15" i="1"/>
  <c r="A15" i="1"/>
  <c r="M3" i="1"/>
  <c r="M4" i="1"/>
  <c r="M5" i="1"/>
  <c r="M6" i="1"/>
  <c r="M7" i="1"/>
  <c r="M8" i="1"/>
  <c r="M9" i="1"/>
  <c r="M10" i="1"/>
  <c r="M2" i="1"/>
  <c r="K3" i="1"/>
  <c r="K4" i="1"/>
  <c r="K5" i="1"/>
  <c r="K6" i="1"/>
  <c r="K7" i="1"/>
  <c r="K8" i="1"/>
  <c r="K9" i="1"/>
  <c r="K10" i="1"/>
  <c r="K2" i="1"/>
  <c r="J2" i="1"/>
  <c r="E15" i="1" s="1"/>
  <c r="J3" i="1"/>
  <c r="E16" i="1" s="1"/>
  <c r="J4" i="1"/>
  <c r="E17" i="1" s="1"/>
  <c r="J5" i="1"/>
  <c r="E18" i="1" s="1"/>
  <c r="J6" i="1"/>
  <c r="E19" i="1" s="1"/>
  <c r="J7" i="1"/>
  <c r="E20" i="1" s="1"/>
  <c r="J8" i="1"/>
  <c r="E21" i="1" s="1"/>
  <c r="J9" i="1"/>
  <c r="E22" i="1" s="1"/>
  <c r="J10" i="1"/>
  <c r="E23" i="1" s="1"/>
  <c r="H3" i="1"/>
  <c r="H4" i="1"/>
  <c r="H5" i="1"/>
  <c r="H6" i="1"/>
  <c r="H7" i="1"/>
  <c r="H8" i="1"/>
  <c r="H9" i="1"/>
  <c r="H10" i="1"/>
  <c r="H2" i="1"/>
  <c r="G3" i="1"/>
  <c r="N3" i="1" s="1"/>
  <c r="G4" i="1"/>
  <c r="N4" i="1" s="1"/>
  <c r="G5" i="1"/>
  <c r="N5" i="1" s="1"/>
  <c r="G6" i="1"/>
  <c r="N6" i="1" s="1"/>
  <c r="G7" i="1"/>
  <c r="N7" i="1" s="1"/>
  <c r="G8" i="1"/>
  <c r="N8" i="1" s="1"/>
  <c r="G9" i="1"/>
  <c r="N9" i="1" s="1"/>
  <c r="G10" i="1"/>
  <c r="N10" i="1" s="1"/>
  <c r="E3" i="1"/>
  <c r="E4" i="1"/>
  <c r="E5" i="1"/>
  <c r="E6" i="1"/>
  <c r="E7" i="1"/>
  <c r="E8" i="1"/>
  <c r="E9" i="1"/>
  <c r="E10" i="1"/>
  <c r="G2" i="1"/>
  <c r="N2" i="1" s="1"/>
  <c r="E2" i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2" i="1" a="1"/>
  <c r="D2" i="1" s="1"/>
  <c r="D3" i="2"/>
  <c r="D2" i="2"/>
  <c r="K28" i="1"/>
  <c r="G28" i="1"/>
  <c r="E28" i="1"/>
  <c r="H28" i="1" s="1"/>
  <c r="E27" i="1"/>
  <c r="K24" i="1"/>
  <c r="A27" i="1"/>
  <c r="I2" i="2" l="1"/>
</calcChain>
</file>

<file path=xl/sharedStrings.xml><?xml version="1.0" encoding="utf-8"?>
<sst xmlns="http://schemas.openxmlformats.org/spreadsheetml/2006/main" count="111" uniqueCount="86">
  <si>
    <t>First Name</t>
  </si>
  <si>
    <t>Last Name</t>
  </si>
  <si>
    <t>Balance</t>
  </si>
  <si>
    <t>Upper</t>
  </si>
  <si>
    <t>Lower</t>
  </si>
  <si>
    <t>Proper</t>
  </si>
  <si>
    <t>Length</t>
  </si>
  <si>
    <t>Concatenate</t>
  </si>
  <si>
    <t>&amp;</t>
  </si>
  <si>
    <t>Dollar</t>
  </si>
  <si>
    <t>Exact</t>
  </si>
  <si>
    <t>Harry</t>
  </si>
  <si>
    <t>Potter</t>
  </si>
  <si>
    <t>Mike</t>
  </si>
  <si>
    <t>danny</t>
  </si>
  <si>
    <t>Bella</t>
  </si>
  <si>
    <t>Edward</t>
  </si>
  <si>
    <t>sMiTh</t>
  </si>
  <si>
    <t>Ginny</t>
  </si>
  <si>
    <t>abbababaa</t>
  </si>
  <si>
    <t>Left</t>
  </si>
  <si>
    <t>Right</t>
  </si>
  <si>
    <t>Middle</t>
  </si>
  <si>
    <t>Trim</t>
  </si>
  <si>
    <t>Rept</t>
  </si>
  <si>
    <t>AbbAbabaa</t>
  </si>
  <si>
    <t>Day</t>
  </si>
  <si>
    <t>Month</t>
  </si>
  <si>
    <t>Year</t>
  </si>
  <si>
    <t>Date Function</t>
  </si>
  <si>
    <t>Today+4</t>
  </si>
  <si>
    <t>First day of the current month</t>
  </si>
  <si>
    <t>First day of the previous month</t>
  </si>
  <si>
    <t>Last day of the current month</t>
  </si>
  <si>
    <t>Last day of the previous month</t>
  </si>
  <si>
    <t>No. of days between</t>
  </si>
  <si>
    <t>Years between</t>
  </si>
  <si>
    <t>Now</t>
  </si>
  <si>
    <t>Hour</t>
  </si>
  <si>
    <t>Minutes</t>
  </si>
  <si>
    <t>Seconds</t>
  </si>
  <si>
    <t>Weekdays</t>
  </si>
  <si>
    <t>Weeknum</t>
  </si>
  <si>
    <t>Workdays</t>
  </si>
  <si>
    <t>Holidays</t>
  </si>
  <si>
    <t>Republic day</t>
  </si>
  <si>
    <t>Ganesh Utsav</t>
  </si>
  <si>
    <t>Holiday1</t>
  </si>
  <si>
    <t>Workday.intl</t>
  </si>
  <si>
    <t>START DATE</t>
  </si>
  <si>
    <t>END DATE</t>
  </si>
  <si>
    <t>Networkdays</t>
  </si>
  <si>
    <t>with holidays</t>
  </si>
  <si>
    <t>Christmas</t>
  </si>
  <si>
    <t>Networkdaysintl</t>
  </si>
  <si>
    <t>New Year</t>
  </si>
  <si>
    <t>Independence day</t>
  </si>
  <si>
    <t>Find (Case Sensitive)</t>
  </si>
  <si>
    <t>Find position of space</t>
  </si>
  <si>
    <t>Search (Case Insentive)</t>
  </si>
  <si>
    <t>Replace (Position based replacement)</t>
  </si>
  <si>
    <t>Substitute (Char based replacment)</t>
  </si>
  <si>
    <t xml:space="preserve">           Harry           ABC</t>
  </si>
  <si>
    <t xml:space="preserve">             abc                       </t>
  </si>
  <si>
    <t xml:space="preserve">Harry </t>
  </si>
  <si>
    <t>Today's Date</t>
  </si>
  <si>
    <t>Today's Date &amp; Current Time</t>
  </si>
  <si>
    <t>Search</t>
  </si>
  <si>
    <t>date</t>
  </si>
  <si>
    <t>day()</t>
  </si>
  <si>
    <t>month()</t>
  </si>
  <si>
    <t>year()</t>
  </si>
  <si>
    <t>Eomonth</t>
  </si>
  <si>
    <t>24/09/2026</t>
  </si>
  <si>
    <t>weekday</t>
  </si>
  <si>
    <t>weeknum</t>
  </si>
  <si>
    <t>=WEEKDAY(DATE(2026,3,24))</t>
  </si>
  <si>
    <t>datedif</t>
  </si>
  <si>
    <t>dob</t>
  </si>
  <si>
    <t>EDATE</t>
  </si>
  <si>
    <t>WORKDAY</t>
  </si>
  <si>
    <t>WORKDAY INTL</t>
  </si>
  <si>
    <t>NETWORKDAY</t>
  </si>
  <si>
    <t>NETWORKDAY INTL</t>
  </si>
  <si>
    <t>YEARFRAC</t>
  </si>
  <si>
    <t>=WEEKDAY(TODAY,(2026,3,24))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</si>
</sst>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4" fontId="0" fillId="0" borderId="0" xfId="0" applyNumberFormat="1"/>
    <xf numFmtId="0" fontId="2" fillId="2" borderId="1" xfId="0" applyFont="1" applyFill="1" applyBorder="1"/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0" fillId="0" borderId="0" xfId="0" applyNumberFormat="1"/>
    <xf numFmtId="0" fontId="5" fillId="0" borderId="0" xfId="0" applyFont="1" applyAlignment="1">
      <alignment wrapText="1"/>
    </xf>
    <xf numFmtId="0" fontId="5" fillId="0" borderId="0" xfId="0" applyFont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opLeftCell="A8" zoomScale="80" zoomScaleNormal="86" workbookViewId="0">
      <selection activeCell="L21" sqref="L21"/>
    </sheetView>
  </sheetViews>
  <sheetFormatPr defaultRowHeight="15" x14ac:dyDescent="0.25"/>
  <cols>
    <col min="1" max="1" width="14.5703125" bestFit="1" customWidth="1"/>
    <col min="2" max="2" width="14.28515625" bestFit="1" customWidth="1"/>
    <col min="3" max="3" width="11.28515625" bestFit="1" customWidth="1"/>
    <col min="4" max="4" width="30.42578125" customWidth="1"/>
    <col min="5" max="6" width="14.140625" customWidth="1"/>
    <col min="7" max="7" width="12.5703125" customWidth="1"/>
    <col min="8" max="8" width="14.28515625" bestFit="1" customWidth="1"/>
    <col min="9" max="9" width="16.5703125" customWidth="1"/>
    <col min="10" max="10" width="17.140625" bestFit="1" customWidth="1"/>
    <col min="11" max="12" width="16" customWidth="1"/>
    <col min="13" max="13" width="15.140625" bestFit="1" customWidth="1"/>
    <col min="14" max="14" width="13.28515625" customWidth="1"/>
    <col min="18" max="18" width="10.85546875" customWidth="1"/>
    <col min="19" max="19" width="13.7109375" customWidth="1"/>
    <col min="20" max="20" width="14.140625" customWidth="1"/>
    <col min="21" max="21" width="17.7109375" customWidth="1"/>
  </cols>
  <sheetData>
    <row r="1" spans="1:14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/>
      <c r="J1" s="1" t="s">
        <v>7</v>
      </c>
      <c r="K1" s="1" t="s">
        <v>8</v>
      </c>
      <c r="L1" s="1"/>
      <c r="M1" s="1" t="s">
        <v>9</v>
      </c>
      <c r="N1" s="1" t="s">
        <v>10</v>
      </c>
    </row>
    <row r="2" spans="1:14" x14ac:dyDescent="0.25">
      <c r="A2" s="2" t="s">
        <v>11</v>
      </c>
      <c r="B2" s="2" t="s">
        <v>12</v>
      </c>
      <c r="C2">
        <v>1000</v>
      </c>
      <c r="D2" t="str">
        <f t="array" ref="D2">UPPER(A2)</f>
        <v>HARRY</v>
      </c>
      <c r="E2" t="str">
        <f>LOWER(A2)</f>
        <v>harry</v>
      </c>
      <c r="G2" t="str">
        <f>PROPER(A2)</f>
        <v>Harry</v>
      </c>
      <c r="H2">
        <f>LEN(A2)</f>
        <v>5</v>
      </c>
      <c r="J2" t="str">
        <f t="shared" ref="J2:J10" si="0">_xlfn.CONCAT(A2,B2)</f>
        <v>HarryPotter</v>
      </c>
      <c r="K2" t="str">
        <f t="shared" ref="K2:K10" si="1">A2&amp;" "&amp;B2</f>
        <v>Harry Potter</v>
      </c>
      <c r="M2" t="str">
        <f>DOLLAR(C2)</f>
        <v>$1,000.00</v>
      </c>
      <c r="N2" t="b">
        <f t="shared" ref="N2:N10" si="2">EXACT(A2,G2)</f>
        <v>1</v>
      </c>
    </row>
    <row r="3" spans="1:14" x14ac:dyDescent="0.25">
      <c r="A3" s="2" t="s">
        <v>13</v>
      </c>
      <c r="B3" s="2" t="s">
        <v>12</v>
      </c>
      <c r="C3">
        <v>500</v>
      </c>
      <c r="D3" t="str">
        <f t="array" ref="D3">UPPER(A3)</f>
        <v>MIKE</v>
      </c>
      <c r="E3" t="str">
        <f t="shared" ref="E3:E10" si="3">LOWER(A3)</f>
        <v>mike</v>
      </c>
      <c r="G3" t="str">
        <f t="shared" ref="G3:G10" si="4">PROPER(A3)</f>
        <v>Mike</v>
      </c>
      <c r="H3">
        <f t="shared" ref="H3:H10" si="5">LEN(A3)</f>
        <v>4</v>
      </c>
      <c r="J3" t="str">
        <f t="shared" si="0"/>
        <v>MikePotter</v>
      </c>
      <c r="K3" t="str">
        <f t="shared" si="1"/>
        <v>Mike Potter</v>
      </c>
      <c r="M3" t="str">
        <f t="shared" ref="M3:M10" si="6">DOLLAR(C3)</f>
        <v>$500.00</v>
      </c>
      <c r="N3" t="b">
        <f t="shared" si="2"/>
        <v>1</v>
      </c>
    </row>
    <row r="4" spans="1:14" x14ac:dyDescent="0.25">
      <c r="A4" s="2" t="s">
        <v>14</v>
      </c>
      <c r="B4" s="2" t="s">
        <v>12</v>
      </c>
      <c r="C4">
        <v>350</v>
      </c>
      <c r="D4" t="str">
        <f t="array" ref="D4">UPPER(A4)</f>
        <v>DANNY</v>
      </c>
      <c r="E4" t="str">
        <f t="shared" si="3"/>
        <v>danny</v>
      </c>
      <c r="G4" t="str">
        <f t="shared" si="4"/>
        <v>Danny</v>
      </c>
      <c r="H4">
        <f t="shared" si="5"/>
        <v>5</v>
      </c>
      <c r="J4" t="str">
        <f t="shared" si="0"/>
        <v>dannyPotter</v>
      </c>
      <c r="K4" t="str">
        <f t="shared" si="1"/>
        <v>danny Potter</v>
      </c>
      <c r="M4" t="str">
        <f t="shared" si="6"/>
        <v>$350.00</v>
      </c>
      <c r="N4" t="b">
        <f t="shared" si="2"/>
        <v>0</v>
      </c>
    </row>
    <row r="5" spans="1:14" x14ac:dyDescent="0.25">
      <c r="A5" s="2" t="s">
        <v>15</v>
      </c>
      <c r="B5" s="2" t="s">
        <v>12</v>
      </c>
      <c r="C5">
        <v>300</v>
      </c>
      <c r="D5" t="str">
        <f t="array" ref="D5">UPPER(A5)</f>
        <v>BELLA</v>
      </c>
      <c r="E5" t="str">
        <f t="shared" si="3"/>
        <v>bella</v>
      </c>
      <c r="G5" t="str">
        <f t="shared" si="4"/>
        <v>Bella</v>
      </c>
      <c r="H5">
        <f t="shared" si="5"/>
        <v>5</v>
      </c>
      <c r="J5" t="str">
        <f t="shared" si="0"/>
        <v>BellaPotter</v>
      </c>
      <c r="K5" t="str">
        <f t="shared" si="1"/>
        <v>Bella Potter</v>
      </c>
      <c r="M5" t="str">
        <f t="shared" si="6"/>
        <v>$300.00</v>
      </c>
      <c r="N5" t="b">
        <f t="shared" si="2"/>
        <v>1</v>
      </c>
    </row>
    <row r="6" spans="1:14" x14ac:dyDescent="0.25">
      <c r="A6" s="2" t="s">
        <v>16</v>
      </c>
      <c r="B6" s="2" t="s">
        <v>12</v>
      </c>
      <c r="C6">
        <v>0</v>
      </c>
      <c r="D6" t="str">
        <f t="array" ref="D6">UPPER(A6)</f>
        <v>EDWARD</v>
      </c>
      <c r="E6" t="str">
        <f t="shared" si="3"/>
        <v>edward</v>
      </c>
      <c r="G6" t="str">
        <f t="shared" si="4"/>
        <v>Edward</v>
      </c>
      <c r="H6">
        <f t="shared" si="5"/>
        <v>6</v>
      </c>
      <c r="J6" t="str">
        <f t="shared" si="0"/>
        <v>EdwardPotter</v>
      </c>
      <c r="K6" t="str">
        <f t="shared" si="1"/>
        <v>Edward Potter</v>
      </c>
      <c r="M6" t="str">
        <f t="shared" si="6"/>
        <v>$0.00</v>
      </c>
      <c r="N6" t="b">
        <f t="shared" si="2"/>
        <v>1</v>
      </c>
    </row>
    <row r="7" spans="1:14" x14ac:dyDescent="0.25">
      <c r="A7" s="2" t="s">
        <v>17</v>
      </c>
      <c r="B7" s="2" t="s">
        <v>12</v>
      </c>
      <c r="C7">
        <v>100</v>
      </c>
      <c r="D7" t="str">
        <f t="array" ref="D7">UPPER(A7)</f>
        <v>SMITH</v>
      </c>
      <c r="E7" t="str">
        <f t="shared" si="3"/>
        <v>smith</v>
      </c>
      <c r="G7" t="str">
        <f t="shared" si="4"/>
        <v>Smith</v>
      </c>
      <c r="H7">
        <f t="shared" si="5"/>
        <v>5</v>
      </c>
      <c r="J7" t="str">
        <f t="shared" si="0"/>
        <v>sMiThPotter</v>
      </c>
      <c r="K7" t="str">
        <f t="shared" si="1"/>
        <v>sMiTh Potter</v>
      </c>
      <c r="M7" t="str">
        <f t="shared" si="6"/>
        <v>$100.00</v>
      </c>
      <c r="N7" t="b">
        <f t="shared" si="2"/>
        <v>0</v>
      </c>
    </row>
    <row r="8" spans="1:14" x14ac:dyDescent="0.25">
      <c r="A8" s="2" t="s">
        <v>18</v>
      </c>
      <c r="B8" s="2" t="s">
        <v>12</v>
      </c>
      <c r="C8">
        <v>20</v>
      </c>
      <c r="D8" t="str">
        <f t="array" ref="D8">UPPER(A8)</f>
        <v>GINNY</v>
      </c>
      <c r="E8" t="str">
        <f t="shared" si="3"/>
        <v>ginny</v>
      </c>
      <c r="G8" t="str">
        <f t="shared" si="4"/>
        <v>Ginny</v>
      </c>
      <c r="H8">
        <f t="shared" si="5"/>
        <v>5</v>
      </c>
      <c r="J8" t="str">
        <f t="shared" si="0"/>
        <v>GinnyPotter</v>
      </c>
      <c r="K8" t="str">
        <f t="shared" si="1"/>
        <v>Ginny Potter</v>
      </c>
      <c r="M8" t="str">
        <f t="shared" si="6"/>
        <v>$20.00</v>
      </c>
      <c r="N8" t="b">
        <f t="shared" si="2"/>
        <v>1</v>
      </c>
    </row>
    <row r="9" spans="1:14" x14ac:dyDescent="0.25">
      <c r="A9" s="2" t="s">
        <v>19</v>
      </c>
      <c r="B9" s="2"/>
      <c r="D9" t="str">
        <f t="array" ref="D9">UPPER(A9)</f>
        <v>ABBABABAA</v>
      </c>
      <c r="E9" t="str">
        <f t="shared" si="3"/>
        <v>abbababaa</v>
      </c>
      <c r="G9" t="str">
        <f t="shared" si="4"/>
        <v>Abbababaa</v>
      </c>
      <c r="H9">
        <f t="shared" si="5"/>
        <v>9</v>
      </c>
      <c r="J9" t="str">
        <f t="shared" si="0"/>
        <v>abbababaa</v>
      </c>
      <c r="K9" t="str">
        <f t="shared" si="1"/>
        <v xml:space="preserve">abbababaa </v>
      </c>
      <c r="M9" t="str">
        <f t="shared" si="6"/>
        <v>$0.00</v>
      </c>
      <c r="N9" t="b">
        <f t="shared" si="2"/>
        <v>0</v>
      </c>
    </row>
    <row r="10" spans="1:14" x14ac:dyDescent="0.25">
      <c r="A10" s="2" t="s">
        <v>19</v>
      </c>
      <c r="B10" s="2"/>
      <c r="D10" t="str">
        <f t="array" ref="D10">UPPER(A10)</f>
        <v>ABBABABAA</v>
      </c>
      <c r="E10" t="str">
        <f t="shared" si="3"/>
        <v>abbababaa</v>
      </c>
      <c r="G10" t="str">
        <f t="shared" si="4"/>
        <v>Abbababaa</v>
      </c>
      <c r="H10">
        <f t="shared" si="5"/>
        <v>9</v>
      </c>
      <c r="J10" t="str">
        <f t="shared" si="0"/>
        <v>abbababaa</v>
      </c>
      <c r="K10" t="str">
        <f t="shared" si="1"/>
        <v xml:space="preserve">abbababaa </v>
      </c>
      <c r="M10" t="str">
        <f t="shared" si="6"/>
        <v>$0.00</v>
      </c>
      <c r="N10" t="b">
        <f t="shared" si="2"/>
        <v>0</v>
      </c>
    </row>
    <row r="14" spans="1:14" ht="55.5" x14ac:dyDescent="0.35">
      <c r="A14" s="6" t="s">
        <v>57</v>
      </c>
      <c r="B14" s="12" t="s">
        <v>67</v>
      </c>
      <c r="C14" s="1" t="s">
        <v>20</v>
      </c>
      <c r="D14" s="8" t="s">
        <v>58</v>
      </c>
      <c r="E14" s="11" t="s">
        <v>20</v>
      </c>
      <c r="F14" s="7"/>
      <c r="G14" s="1" t="s">
        <v>21</v>
      </c>
      <c r="H14" s="1" t="s">
        <v>22</v>
      </c>
      <c r="I14" s="6" t="s">
        <v>60</v>
      </c>
      <c r="J14" s="9" t="s">
        <v>59</v>
      </c>
      <c r="K14" s="6" t="s">
        <v>61</v>
      </c>
      <c r="L14" s="1" t="s">
        <v>23</v>
      </c>
      <c r="M14" s="1" t="s">
        <v>24</v>
      </c>
    </row>
    <row r="15" spans="1:14" x14ac:dyDescent="0.25">
      <c r="A15">
        <f>FIND("H",A2)</f>
        <v>1</v>
      </c>
      <c r="C15">
        <f>SEARCH("h",A2)</f>
        <v>1</v>
      </c>
      <c r="E15" t="str">
        <f>LEFT(J2,5)</f>
        <v>Harry</v>
      </c>
      <c r="F15" t="str">
        <f>LEFT(J2,LEN(A2))</f>
        <v>Harry</v>
      </c>
      <c r="G15" t="str">
        <f>RIGHT(J2)</f>
        <v>r</v>
      </c>
      <c r="H15" t="str">
        <f>MID(J2,6,4)</f>
        <v>Pott</v>
      </c>
      <c r="I15" s="7" t="str">
        <f>REPLACE(F15,1,5,"ABCD")</f>
        <v>ABCD</v>
      </c>
      <c r="J15" t="str">
        <f>REPT(F15,3)</f>
        <v>HarryHarryHarry</v>
      </c>
    </row>
    <row r="16" spans="1:14" x14ac:dyDescent="0.25">
      <c r="A16" t="e">
        <f t="shared" ref="A16:A25" si="7">FIND("H",A3)</f>
        <v>#VALUE!</v>
      </c>
      <c r="C16" t="e">
        <f t="shared" ref="C16:C24" si="8">SEARCH("h",A3)</f>
        <v>#VALUE!</v>
      </c>
      <c r="E16" t="str">
        <f t="shared" ref="E16:E25" si="9">LEFT(J3,5)</f>
        <v>MikeP</v>
      </c>
      <c r="F16" t="str">
        <f t="shared" ref="F16:F25" si="10">LEFT(J3,LEN(A3))</f>
        <v>Mike</v>
      </c>
      <c r="G16" t="str">
        <f t="shared" ref="G16:G25" si="11">RIGHT(J3)</f>
        <v>r</v>
      </c>
      <c r="H16" t="str">
        <f t="shared" ref="H16:H25" si="12">MID(J3,6,4)</f>
        <v>otte</v>
      </c>
      <c r="I16" s="7" t="str">
        <f t="shared" ref="I16:I25" si="13">REPLACE(F16,1,5,"ABCD")</f>
        <v>ABCD</v>
      </c>
      <c r="J16" t="str">
        <f t="shared" ref="J16:J24" si="14">REPT(F16,3)</f>
        <v>MikeMikeMike</v>
      </c>
    </row>
    <row r="17" spans="1:11" x14ac:dyDescent="0.25">
      <c r="A17" t="e">
        <f t="shared" si="7"/>
        <v>#VALUE!</v>
      </c>
      <c r="C17" t="e">
        <f t="shared" si="8"/>
        <v>#VALUE!</v>
      </c>
      <c r="E17" t="str">
        <f t="shared" si="9"/>
        <v>danny</v>
      </c>
      <c r="F17" t="str">
        <f t="shared" si="10"/>
        <v>danny</v>
      </c>
      <c r="G17" t="str">
        <f t="shared" si="11"/>
        <v>r</v>
      </c>
      <c r="H17" t="str">
        <f t="shared" si="12"/>
        <v>Pott</v>
      </c>
      <c r="I17" s="7" t="str">
        <f t="shared" si="13"/>
        <v>ABCD</v>
      </c>
      <c r="J17" t="str">
        <f t="shared" si="14"/>
        <v>dannydannydanny</v>
      </c>
    </row>
    <row r="18" spans="1:11" x14ac:dyDescent="0.25">
      <c r="A18" t="e">
        <f t="shared" si="7"/>
        <v>#VALUE!</v>
      </c>
      <c r="C18" t="e">
        <f t="shared" si="8"/>
        <v>#VALUE!</v>
      </c>
      <c r="E18" t="str">
        <f t="shared" si="9"/>
        <v>Bella</v>
      </c>
      <c r="F18" t="str">
        <f t="shared" si="10"/>
        <v>Bella</v>
      </c>
      <c r="G18" t="str">
        <f t="shared" si="11"/>
        <v>r</v>
      </c>
      <c r="H18" t="str">
        <f t="shared" si="12"/>
        <v>Pott</v>
      </c>
      <c r="I18" s="7" t="str">
        <f t="shared" si="13"/>
        <v>ABCD</v>
      </c>
      <c r="J18" t="str">
        <f t="shared" si="14"/>
        <v>BellaBellaBella</v>
      </c>
    </row>
    <row r="19" spans="1:11" x14ac:dyDescent="0.25">
      <c r="A19" t="e">
        <f t="shared" si="7"/>
        <v>#VALUE!</v>
      </c>
      <c r="C19" t="e">
        <f t="shared" si="8"/>
        <v>#VALUE!</v>
      </c>
      <c r="E19" t="str">
        <f t="shared" si="9"/>
        <v>Edwar</v>
      </c>
      <c r="F19" t="str">
        <f t="shared" si="10"/>
        <v>Edward</v>
      </c>
      <c r="G19" t="str">
        <f t="shared" si="11"/>
        <v>r</v>
      </c>
      <c r="H19" t="str">
        <f t="shared" si="12"/>
        <v>dPot</v>
      </c>
      <c r="I19" s="7" t="str">
        <f t="shared" si="13"/>
        <v>ABCDd</v>
      </c>
      <c r="J19" t="str">
        <f t="shared" si="14"/>
        <v>EdwardEdwardEdward</v>
      </c>
    </row>
    <row r="20" spans="1:11" x14ac:dyDescent="0.25">
      <c r="A20" t="e">
        <f t="shared" si="7"/>
        <v>#VALUE!</v>
      </c>
      <c r="C20">
        <f t="shared" si="8"/>
        <v>5</v>
      </c>
      <c r="E20" t="str">
        <f t="shared" si="9"/>
        <v>sMiTh</v>
      </c>
      <c r="F20" t="str">
        <f t="shared" si="10"/>
        <v>sMiTh</v>
      </c>
      <c r="G20" t="str">
        <f t="shared" si="11"/>
        <v>r</v>
      </c>
      <c r="H20" t="str">
        <f t="shared" si="12"/>
        <v>Pott</v>
      </c>
      <c r="I20" s="7" t="str">
        <f t="shared" si="13"/>
        <v>ABCD</v>
      </c>
      <c r="J20" t="str">
        <f t="shared" si="14"/>
        <v>sMiThsMiThsMiTh</v>
      </c>
    </row>
    <row r="21" spans="1:11" x14ac:dyDescent="0.25">
      <c r="A21" t="e">
        <f t="shared" si="7"/>
        <v>#VALUE!</v>
      </c>
      <c r="C21" t="e">
        <f t="shared" si="8"/>
        <v>#VALUE!</v>
      </c>
      <c r="E21" t="str">
        <f t="shared" si="9"/>
        <v>Ginny</v>
      </c>
      <c r="F21" t="str">
        <f t="shared" si="10"/>
        <v>Ginny</v>
      </c>
      <c r="G21" t="str">
        <f t="shared" si="11"/>
        <v>r</v>
      </c>
      <c r="H21" t="str">
        <f t="shared" si="12"/>
        <v>Pott</v>
      </c>
      <c r="I21" s="7" t="str">
        <f t="shared" si="13"/>
        <v>ABCD</v>
      </c>
      <c r="J21" t="str">
        <f t="shared" si="14"/>
        <v>GinnyGinnyGinny</v>
      </c>
    </row>
    <row r="22" spans="1:11" x14ac:dyDescent="0.25">
      <c r="A22" t="e">
        <f t="shared" si="7"/>
        <v>#VALUE!</v>
      </c>
      <c r="C22" t="e">
        <f t="shared" si="8"/>
        <v>#VALUE!</v>
      </c>
      <c r="E22" t="str">
        <f t="shared" si="9"/>
        <v>abbab</v>
      </c>
      <c r="F22" t="str">
        <f t="shared" si="10"/>
        <v>abbababaa</v>
      </c>
      <c r="G22" t="str">
        <f t="shared" si="11"/>
        <v>a</v>
      </c>
      <c r="H22" t="str">
        <f t="shared" si="12"/>
        <v>abaa</v>
      </c>
      <c r="I22" s="7" t="str">
        <f t="shared" si="13"/>
        <v>ABCDabaa</v>
      </c>
      <c r="J22" t="str">
        <f t="shared" si="14"/>
        <v>abbababaaabbababaaabbababaa</v>
      </c>
    </row>
    <row r="23" spans="1:11" x14ac:dyDescent="0.25">
      <c r="A23" t="e">
        <f t="shared" si="7"/>
        <v>#VALUE!</v>
      </c>
      <c r="C23" t="e">
        <f t="shared" si="8"/>
        <v>#VALUE!</v>
      </c>
      <c r="E23" t="str">
        <f t="shared" si="9"/>
        <v>abbab</v>
      </c>
      <c r="F23" t="str">
        <f t="shared" si="10"/>
        <v>abbababaa</v>
      </c>
      <c r="G23" t="str">
        <f t="shared" si="11"/>
        <v>a</v>
      </c>
      <c r="H23" t="str">
        <f t="shared" si="12"/>
        <v>abaa</v>
      </c>
      <c r="I23" s="7" t="str">
        <f t="shared" si="13"/>
        <v>ABCDabaa</v>
      </c>
      <c r="J23" t="str">
        <f t="shared" si="14"/>
        <v>abbababaaabbababaaabbababaa</v>
      </c>
    </row>
    <row r="24" spans="1:11" x14ac:dyDescent="0.25">
      <c r="A24" t="e">
        <f t="shared" si="7"/>
        <v>#VALUE!</v>
      </c>
      <c r="C24" t="e">
        <f t="shared" si="8"/>
        <v>#VALUE!</v>
      </c>
      <c r="E24" t="str">
        <f t="shared" si="9"/>
        <v/>
      </c>
      <c r="F24" t="str">
        <f t="shared" si="10"/>
        <v/>
      </c>
      <c r="G24" t="str">
        <f t="shared" si="11"/>
        <v/>
      </c>
      <c r="H24" t="str">
        <f t="shared" si="12"/>
        <v/>
      </c>
      <c r="I24" s="7" t="str">
        <f t="shared" si="13"/>
        <v>ABCD</v>
      </c>
      <c r="J24" t="str">
        <f t="shared" si="14"/>
        <v/>
      </c>
      <c r="K24" t="str">
        <f t="shared" ref="K24" si="15">SUBSTITUTE(I11,"a","@")</f>
        <v/>
      </c>
    </row>
    <row r="25" spans="1:11" x14ac:dyDescent="0.25">
      <c r="A25" t="e">
        <f t="shared" si="7"/>
        <v>#VALUE!</v>
      </c>
      <c r="C25" t="e">
        <f>SEARCH("h",A12)</f>
        <v>#VALUE!</v>
      </c>
      <c r="E25" t="str">
        <f t="shared" si="9"/>
        <v/>
      </c>
      <c r="F25" t="str">
        <f t="shared" si="10"/>
        <v/>
      </c>
      <c r="G25" t="str">
        <f t="shared" si="11"/>
        <v/>
      </c>
      <c r="H25" t="str">
        <f t="shared" si="12"/>
        <v/>
      </c>
      <c r="I25" s="7" t="str">
        <f t="shared" si="13"/>
        <v>ABCD</v>
      </c>
    </row>
    <row r="27" spans="1:11" x14ac:dyDescent="0.25">
      <c r="A27">
        <f t="shared" ref="A27" si="16">FIND("a",A14)</f>
        <v>8</v>
      </c>
      <c r="D27" t="s">
        <v>62</v>
      </c>
      <c r="E27" t="str">
        <f>TRIM(D27)</f>
        <v>Harry ABC</v>
      </c>
    </row>
    <row r="28" spans="1:11" x14ac:dyDescent="0.25">
      <c r="A28" s="2" t="s">
        <v>13</v>
      </c>
      <c r="D28" t="s">
        <v>63</v>
      </c>
      <c r="E28" t="str">
        <f>TRIM(D28)</f>
        <v>abc</v>
      </c>
      <c r="G28">
        <f>LEN(D28)</f>
        <v>39</v>
      </c>
      <c r="H28">
        <f>LEN(E28)</f>
        <v>3</v>
      </c>
      <c r="J28" t="s">
        <v>64</v>
      </c>
      <c r="K28" t="str">
        <f>REPT(J28,5)</f>
        <v xml:space="preserve">Harry Harry Harry Harry Harry </v>
      </c>
    </row>
    <row r="29" spans="1:11" x14ac:dyDescent="0.25">
      <c r="A29" s="2" t="s">
        <v>14</v>
      </c>
    </row>
    <row r="30" spans="1:11" x14ac:dyDescent="0.25">
      <c r="A30" s="2" t="s">
        <v>15</v>
      </c>
    </row>
    <row r="31" spans="1:11" x14ac:dyDescent="0.25">
      <c r="A31" s="2" t="s">
        <v>16</v>
      </c>
    </row>
    <row r="32" spans="1:11" x14ac:dyDescent="0.25">
      <c r="A32" s="2" t="s">
        <v>17</v>
      </c>
    </row>
    <row r="33" spans="1:1" x14ac:dyDescent="0.25">
      <c r="A33" s="2" t="s">
        <v>18</v>
      </c>
    </row>
    <row r="34" spans="1:1" x14ac:dyDescent="0.25">
      <c r="A34" s="2" t="s">
        <v>19</v>
      </c>
    </row>
    <row r="35" spans="1:1" x14ac:dyDescent="0.25">
      <c r="A35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I47"/>
  <sheetViews>
    <sheetView topLeftCell="A43" zoomScale="94" zoomScaleNormal="124" workbookViewId="0">
      <selection activeCell="F9" sqref="F9:G20"/>
    </sheetView>
  </sheetViews>
  <sheetFormatPr defaultRowHeight="15" x14ac:dyDescent="0.25"/>
  <cols>
    <col min="3" max="3" width="44.28515625" customWidth="1"/>
    <col min="4" max="4" width="45.140625" customWidth="1"/>
    <col min="6" max="6" width="39" customWidth="1"/>
    <col min="7" max="7" width="12.140625" bestFit="1" customWidth="1"/>
    <col min="8" max="9" width="11.140625" bestFit="1" customWidth="1"/>
  </cols>
  <sheetData>
    <row r="2" spans="3:9" x14ac:dyDescent="0.25">
      <c r="C2" s="3" t="s">
        <v>65</v>
      </c>
      <c r="D2" s="4">
        <f ca="1">TODAY()</f>
        <v>46289</v>
      </c>
      <c r="F2" s="4">
        <f ca="1">TODAY()</f>
        <v>46289</v>
      </c>
      <c r="H2" t="s">
        <v>68</v>
      </c>
      <c r="I2" s="4">
        <f ca="1">DATE(24,F5,F6)</f>
        <v>11036</v>
      </c>
    </row>
    <row r="3" spans="3:9" x14ac:dyDescent="0.25">
      <c r="C3" s="3" t="s">
        <v>66</v>
      </c>
      <c r="D3" s="10">
        <f ca="1">NOW()</f>
        <v>46289.750073842595</v>
      </c>
      <c r="F3" s="4">
        <f ca="1">NOW()</f>
        <v>46289.750073842595</v>
      </c>
    </row>
    <row r="4" spans="3:9" hidden="1" x14ac:dyDescent="0.25">
      <c r="C4" s="3" t="s">
        <v>26</v>
      </c>
    </row>
    <row r="5" spans="3:9" x14ac:dyDescent="0.25">
      <c r="C5" s="3" t="s">
        <v>27</v>
      </c>
      <c r="F5">
        <f ca="1">MONTH(TODAY())</f>
        <v>9</v>
      </c>
    </row>
    <row r="6" spans="3:9" x14ac:dyDescent="0.25">
      <c r="C6" s="3" t="s">
        <v>28</v>
      </c>
      <c r="F6">
        <f ca="1">YEAR(TODAY())</f>
        <v>2026</v>
      </c>
    </row>
    <row r="7" spans="3:9" x14ac:dyDescent="0.25">
      <c r="C7" s="3"/>
    </row>
    <row r="8" spans="3:9" x14ac:dyDescent="0.25">
      <c r="C8" s="3"/>
    </row>
    <row r="9" spans="3:9" x14ac:dyDescent="0.25">
      <c r="C9" s="3" t="s">
        <v>29</v>
      </c>
      <c r="F9" s="14" t="s">
        <v>69</v>
      </c>
      <c r="G9" t="s">
        <v>73</v>
      </c>
    </row>
    <row r="10" spans="3:9" x14ac:dyDescent="0.25">
      <c r="C10" s="3" t="s">
        <v>30</v>
      </c>
      <c r="F10" s="14" t="s">
        <v>70</v>
      </c>
      <c r="G10">
        <v>9</v>
      </c>
    </row>
    <row r="11" spans="3:9" x14ac:dyDescent="0.25">
      <c r="C11" s="3"/>
      <c r="F11" s="14" t="s">
        <v>71</v>
      </c>
      <c r="G11">
        <v>2026</v>
      </c>
    </row>
    <row r="13" spans="3:9" x14ac:dyDescent="0.25">
      <c r="C13" s="3" t="s">
        <v>31</v>
      </c>
      <c r="F13" s="14" t="s">
        <v>72</v>
      </c>
      <c r="G13" s="4">
        <f ca="1">EOMONTH(TODAY(),3)</f>
        <v>46387</v>
      </c>
    </row>
    <row r="14" spans="3:9" x14ac:dyDescent="0.25">
      <c r="C14" s="3" t="s">
        <v>32</v>
      </c>
      <c r="F14" s="14" t="s">
        <v>74</v>
      </c>
      <c r="G14" s="13" t="s">
        <v>76</v>
      </c>
    </row>
    <row r="15" spans="3:9" x14ac:dyDescent="0.25">
      <c r="C15" s="3"/>
    </row>
    <row r="16" spans="3:9" x14ac:dyDescent="0.25">
      <c r="C16" s="3" t="s">
        <v>33</v>
      </c>
      <c r="F16" s="14" t="s">
        <v>75</v>
      </c>
      <c r="G16">
        <f>WEEKNUM(DATE(2026,1,1))</f>
        <v>1</v>
      </c>
    </row>
    <row r="17" spans="3:8" x14ac:dyDescent="0.25">
      <c r="C17" s="3" t="s">
        <v>34</v>
      </c>
    </row>
    <row r="18" spans="3:8" x14ac:dyDescent="0.25">
      <c r="F18" s="14" t="s">
        <v>77</v>
      </c>
      <c r="G18">
        <f ca="1">DATEDIF(F20,TODAY(),"D")</f>
        <v>266</v>
      </c>
    </row>
    <row r="19" spans="3:8" x14ac:dyDescent="0.25">
      <c r="C19" s="3" t="s">
        <v>35</v>
      </c>
      <c r="F19" t="s">
        <v>78</v>
      </c>
    </row>
    <row r="20" spans="3:8" x14ac:dyDescent="0.25">
      <c r="C20" s="3" t="s">
        <v>36</v>
      </c>
      <c r="F20" s="4">
        <v>46023</v>
      </c>
    </row>
    <row r="22" spans="3:8" x14ac:dyDescent="0.25">
      <c r="C22" s="3" t="s">
        <v>37</v>
      </c>
    </row>
    <row r="23" spans="3:8" x14ac:dyDescent="0.25">
      <c r="C23" s="3" t="s">
        <v>38</v>
      </c>
    </row>
    <row r="24" spans="3:8" x14ac:dyDescent="0.25">
      <c r="C24" s="3" t="s">
        <v>39</v>
      </c>
    </row>
    <row r="25" spans="3:8" x14ac:dyDescent="0.25">
      <c r="C25" s="3" t="s">
        <v>40</v>
      </c>
    </row>
    <row r="27" spans="3:8" x14ac:dyDescent="0.25">
      <c r="C27" s="3" t="s">
        <v>41</v>
      </c>
    </row>
    <row r="28" spans="3:8" x14ac:dyDescent="0.25">
      <c r="C28" s="3" t="s">
        <v>42</v>
      </c>
    </row>
    <row r="29" spans="3:8" x14ac:dyDescent="0.25">
      <c r="C29" s="3"/>
    </row>
    <row r="31" spans="3:8" x14ac:dyDescent="0.25">
      <c r="C31" s="3" t="s">
        <v>43</v>
      </c>
      <c r="G31" s="2" t="s">
        <v>44</v>
      </c>
    </row>
    <row r="32" spans="3:8" x14ac:dyDescent="0.25">
      <c r="G32" t="s">
        <v>45</v>
      </c>
      <c r="H32" s="4">
        <v>44952</v>
      </c>
    </row>
    <row r="33" spans="3:8" x14ac:dyDescent="0.25">
      <c r="G33" t="s">
        <v>46</v>
      </c>
      <c r="H33" s="4">
        <v>45188</v>
      </c>
    </row>
    <row r="34" spans="3:8" x14ac:dyDescent="0.25">
      <c r="G34" t="s">
        <v>47</v>
      </c>
      <c r="H34" s="4">
        <v>45180</v>
      </c>
    </row>
    <row r="35" spans="3:8" x14ac:dyDescent="0.25">
      <c r="C35" s="3" t="s">
        <v>48</v>
      </c>
    </row>
    <row r="39" spans="3:8" x14ac:dyDescent="0.25">
      <c r="C39" s="5" t="s">
        <v>49</v>
      </c>
      <c r="D39" s="4">
        <v>42005</v>
      </c>
    </row>
    <row r="40" spans="3:8" x14ac:dyDescent="0.25">
      <c r="C40" s="5" t="s">
        <v>50</v>
      </c>
      <c r="D40" s="4">
        <v>42339</v>
      </c>
    </row>
    <row r="41" spans="3:8" x14ac:dyDescent="0.25">
      <c r="C41" s="3"/>
    </row>
    <row r="42" spans="3:8" x14ac:dyDescent="0.25">
      <c r="C42" s="3"/>
    </row>
    <row r="43" spans="3:8" x14ac:dyDescent="0.25">
      <c r="C43" s="3"/>
    </row>
    <row r="44" spans="3:8" x14ac:dyDescent="0.25">
      <c r="C44" s="3" t="s">
        <v>51</v>
      </c>
      <c r="G44" s="2" t="s">
        <v>44</v>
      </c>
    </row>
    <row r="45" spans="3:8" x14ac:dyDescent="0.25">
      <c r="C45" s="3" t="s">
        <v>52</v>
      </c>
      <c r="G45" t="s">
        <v>53</v>
      </c>
      <c r="H45" s="4">
        <v>42363</v>
      </c>
    </row>
    <row r="46" spans="3:8" x14ac:dyDescent="0.25">
      <c r="C46" s="3" t="s">
        <v>54</v>
      </c>
      <c r="G46" t="s">
        <v>55</v>
      </c>
      <c r="H46" s="4">
        <v>42005</v>
      </c>
    </row>
    <row r="47" spans="3:8" x14ac:dyDescent="0.25">
      <c r="G47" t="s">
        <v>56</v>
      </c>
      <c r="H47" s="4">
        <v>42231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4"/>
  <sheetViews>
    <sheetView tabSelected="1" topLeftCell="A4" zoomScale="162" zoomScaleNormal="172" workbookViewId="0">
      <selection activeCell="C11" sqref="C11"/>
    </sheetView>
  </sheetViews>
  <sheetFormatPr defaultRowHeight="15" x14ac:dyDescent="0.25"/>
  <cols>
    <col min="2" max="2" width="18.42578125" bestFit="1" customWidth="1"/>
    <col min="3" max="3" width="17.5703125" customWidth="1"/>
    <col min="4" max="4" width="10.140625" bestFit="1" customWidth="1"/>
    <col min="7" max="7" width="10.140625" bestFit="1" customWidth="1"/>
  </cols>
  <sheetData>
    <row r="2" spans="2:7" x14ac:dyDescent="0.25">
      <c r="D2" s="4"/>
    </row>
    <row r="5" spans="2:7" x14ac:dyDescent="0.25">
      <c r="B5" s="14" t="s">
        <v>69</v>
      </c>
      <c r="C5" t="s">
        <v>73</v>
      </c>
      <c r="G5" s="4"/>
    </row>
    <row r="6" spans="2:7" x14ac:dyDescent="0.25">
      <c r="B6" s="14" t="s">
        <v>70</v>
      </c>
      <c r="C6">
        <v>9</v>
      </c>
      <c r="G6" s="4"/>
    </row>
    <row r="7" spans="2:7" x14ac:dyDescent="0.25">
      <c r="B7" s="14" t="s">
        <v>71</v>
      </c>
      <c r="C7">
        <v>2026</v>
      </c>
      <c r="G7" s="4"/>
    </row>
    <row r="8" spans="2:7" x14ac:dyDescent="0.25">
      <c r="G8" s="4"/>
    </row>
    <row r="9" spans="2:7" x14ac:dyDescent="0.25">
      <c r="B9" s="14" t="s">
        <v>72</v>
      </c>
      <c r="C9" s="4">
        <f ca="1">EOMONTH(TODAY(),3)</f>
        <v>46387</v>
      </c>
    </row>
    <row r="10" spans="2:7" x14ac:dyDescent="0.25">
      <c r="B10" s="14" t="s">
        <v>74</v>
      </c>
      <c r="C10" s="13" t="s">
        <v>85</v>
      </c>
    </row>
    <row r="12" spans="2:7" x14ac:dyDescent="0.25">
      <c r="B12" s="14" t="s">
        <v>75</v>
      </c>
      <c r="C12">
        <f>WEEKNUM(DATE(2026,1,1))</f>
        <v>1</v>
      </c>
    </row>
    <row r="14" spans="2:7" x14ac:dyDescent="0.25">
      <c r="B14" s="14" t="s">
        <v>77</v>
      </c>
      <c r="C14">
        <f ca="1">DATEDIF(B16,TODAY(),"D")</f>
        <v>266</v>
      </c>
    </row>
    <row r="15" spans="2:7" x14ac:dyDescent="0.25">
      <c r="B15" t="s">
        <v>78</v>
      </c>
    </row>
    <row r="16" spans="2:7" x14ac:dyDescent="0.25">
      <c r="B16" s="4">
        <v>46023</v>
      </c>
    </row>
    <row r="18" spans="2:3" x14ac:dyDescent="0.25">
      <c r="B18" s="14" t="s">
        <v>79</v>
      </c>
      <c r="C18" s="4">
        <f ca="1">EDATE(TODAY(),5)</f>
        <v>46442</v>
      </c>
    </row>
    <row r="20" spans="2:3" x14ac:dyDescent="0.25">
      <c r="B20" s="14" t="s">
        <v>84</v>
      </c>
      <c r="C20">
        <f ca="1">YEARFRAC(DATE(2025,9,24),TODAY(),1)</f>
        <v>1</v>
      </c>
    </row>
    <row r="21" spans="2:3" x14ac:dyDescent="0.25">
      <c r="B21" s="14" t="s">
        <v>81</v>
      </c>
      <c r="C21">
        <f ca="1">WORKDAY.INTL(TODAY(),5)</f>
        <v>46296</v>
      </c>
    </row>
    <row r="22" spans="2:3" x14ac:dyDescent="0.25">
      <c r="B22" s="14" t="s">
        <v>80</v>
      </c>
      <c r="C22">
        <f ca="1">WORKDAY.INTL(TODAY()*5,11)</f>
        <v>231460</v>
      </c>
    </row>
    <row r="23" spans="2:3" x14ac:dyDescent="0.25">
      <c r="B23" s="14" t="s">
        <v>82</v>
      </c>
      <c r="C23">
        <f ca="1">NETWORKDAYS(DATE(2026,9,1),TODAY())</f>
        <v>18</v>
      </c>
    </row>
    <row r="24" spans="2:3" x14ac:dyDescent="0.25">
      <c r="B24" s="14" t="s">
        <v>83</v>
      </c>
      <c r="C24">
        <f ca="1">NETWORKDAYS.INTL(DATE(2026,9,1),TODAY(),11)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Functions</vt:lpstr>
      <vt:lpstr>Date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Prachiti sonawane</dc:creator>
  <cp:lastModifiedBy>Suraj Bansode</cp:lastModifiedBy>
  <dcterms:created xsi:type="dcterms:W3CDTF">2015-06-05T18:17:20Z</dcterms:created>
  <dcterms:modified xsi:type="dcterms:W3CDTF">2026-09-24T12:30:44Z</dcterms:modified>
</cp:coreProperties>
</file>